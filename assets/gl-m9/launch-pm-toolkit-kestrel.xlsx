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se" sheetId="2" state="visible" r:id="rId4"/>
    <sheet name="Launch tracker" sheetId="3" state="visible" r:id="rId5"/>
    <sheet name="Country tracker" sheetId="4" state="visible" r:id="rId6"/>
    <sheet name="RACI" sheetId="5" state="visible" r:id="rId7"/>
    <sheet name="Risk register" sheetId="6" state="visible" r:id="rId8"/>
    <sheet name="Decision log" sheetId="7" state="visible" r:id="rId9"/>
    <sheet name="Capstone" sheetId="8" state="visible" r:id="rId10"/>
    <sheet name="RACI (blank)" sheetId="9" state="visible" r:id="rId11"/>
    <sheet name="Risk register (blank)" sheetId="10" state="visible" r:id="rId12"/>
    <sheet name="Decision log (blank)"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<sst xmlns="http://schemas.openxmlformats.org/spreadsheetml/2006/main" count="490" uniqueCount="286">
  <si>
    <t xml:space="preserve">Launch PM toolkit</t>
  </si>
  <si>
    <t xml:space="preserve">Synthetic example (Project Kestrel). All names, dates and figures are invented for training.</t>
  </si>
  <si>
    <t xml:space="preserve">What this is</t>
  </si>
  <si>
    <t xml:space="preserve">Working templates for the Generics &amp; launch course (lessons 9.9 and 9.10), pre-filled with one synthetic launch so you can see them in use.</t>
  </si>
  <si>
    <t xml:space="preserve">How to reuse</t>
  </si>
  <si>
    <t xml:space="preserve">Copy a sheet, clear the yellow cells, and fill in your own launch. Formulas (black text) recalculate by themselves.</t>
  </si>
  <si>
    <t xml:space="preserve">Legend</t>
  </si>
  <si>
    <t xml:space="preserve">Yellow cell, blue text = input you type. Black text = formula. Red / Amber / Green = status flags.</t>
  </si>
  <si>
    <t xml:space="preserve">Months</t>
  </si>
  <si>
    <t xml:space="preserve">Plans count months from deal signature (month 0 = 2 January 2023 in the example).</t>
  </si>
  <si>
    <t xml:space="preserve">Sheets</t>
  </si>
  <si>
    <t xml:space="preserve">Case · Launch tracker · Country tracker · RACI · Risk register · Decision log · Capstone · and blank copies of RACI, Risk register and Decision log.</t>
  </si>
  <si>
    <t xml:space="preserve">Weekly rhythm</t>
  </si>
  <si>
    <t xml:space="preserve">What moved, what's late, the top three risks, decisions needed, and a red/amber/green flag per country (lesson 9.9).</t>
  </si>
  <si>
    <t xml:space="preserve">Status</t>
  </si>
  <si>
    <t xml:space="preserve">Practice, not regulation. Adapt the columns to your company's own templates.</t>
  </si>
  <si>
    <t xml:space="preserve">Legend examples:</t>
  </si>
  <si>
    <t xml:space="preserve">Input</t>
  </si>
  <si>
    <t xml:space="preserve">Type here</t>
  </si>
  <si>
    <t xml:space="preserve">Formula</t>
  </si>
  <si>
    <t xml:space="preserve">Calculated, don't overwrite</t>
  </si>
  <si>
    <t xml:space="preserve">Project Kestrel: case summary</t>
  </si>
  <si>
    <t xml:space="preserve">Product</t>
  </si>
  <si>
    <t xml:space="preserve">Molecule K 10 mg and 20 mg film-coated tablets (anonymised cardiovascular molecule)</t>
  </si>
  <si>
    <t xml:space="preserve">Legal basis</t>
  </si>
  <si>
    <t xml:space="preserve">Generic application, Article 10(1) of Directive 2001/83/EC</t>
  </si>
  <si>
    <t xml:space="preserve">Procedure</t>
  </si>
  <si>
    <t xml:space="preserve">Decentralised procedure (DCP); RMS: Netherlands; CMS: Germany, France, Spain, Italy, Poland</t>
  </si>
  <si>
    <t xml:space="preserve">Licensor</t>
  </si>
  <si>
    <t xml:space="preserve">Partner I (Indian manufacturer and dossier owner; finished product made in India)</t>
  </si>
  <si>
    <t xml:space="preserve">MAH</t>
  </si>
  <si>
    <t xml:space="preserve">Company A (EU marketing authorisation holder; the PM's employer)</t>
  </si>
  <si>
    <t xml:space="preserve">EU release site</t>
  </si>
  <si>
    <t xml:space="preserve">Site Q (EU contract site in Germany: import testing and QP batch release)</t>
  </si>
  <si>
    <t xml:space="preserve">Deal</t>
  </si>
  <si>
    <t xml:space="preserve">Licence and supply agreement signed 2 January 2023 (month 0)</t>
  </si>
  <si>
    <t xml:space="preserve">Planned first sale</t>
  </si>
  <si>
    <t xml:space="preserve">Germany, month 18 (July 2024)</t>
  </si>
  <si>
    <t xml:space="preserve">Actual first sale</t>
  </si>
  <si>
    <t xml:space="preserve">Germany, month 23 (December 2024): 5 months late</t>
  </si>
  <si>
    <t xml:space="preserve">Last gate to open</t>
  </si>
  <si>
    <t xml:space="preserve">Released stock (QP release at Site Q), not the licence or the patent</t>
  </si>
  <si>
    <t xml:space="preserve">Month 0 date</t>
  </si>
  <si>
    <t xml:space="preserve">SPC expiry (month)</t>
  </si>
  <si>
    <t xml:space="preserve">Launch tracker: plan vs actual, by phase</t>
  </si>
  <si>
    <t xml:space="preserve">Synthetic example (Project Kestrel). All names, dates and figures are invented for training. Variance and status are formulas.</t>
  </si>
  <si>
    <t xml:space="preserve">Phase</t>
  </si>
  <si>
    <t xml:space="preserve">Owner</t>
  </si>
  <si>
    <t xml:space="preserve">Planned start</t>
  </si>
  <si>
    <t xml:space="preserve">Planned end</t>
  </si>
  <si>
    <t xml:space="preserve">Actual start</t>
  </si>
  <si>
    <t xml:space="preserve">Actual end</t>
  </si>
  <si>
    <t xml:space="preserve">Slip (days)</t>
  </si>
  <si>
    <t xml:space="preserve">Slip (months)</t>
  </si>
  <si>
    <t xml:space="preserve">Critical path?</t>
  </si>
  <si>
    <t xml:space="preserve">Cause of slip</t>
  </si>
  <si>
    <t xml:space="preserve">Deal + dossier transfer</t>
  </si>
  <si>
    <t xml:space="preserve">BD / RA</t>
  </si>
  <si>
    <t xml:space="preserve">Yes</t>
  </si>
  <si>
    <t xml:space="preserve">Module 3 arrived in an old non-eCTD format; rebuilding it took an extra month.</t>
  </si>
  <si>
    <t xml:space="preserve">Gap analysis + gap closure</t>
  </si>
  <si>
    <t xml:space="preserve">RA / QA</t>
  </si>
  <si>
    <t xml:space="preserve">Stability data covered only 12 months; the API written confirmation expired during gap closure (renewal 7 weeks).</t>
  </si>
  <si>
    <t xml:space="preserve">RMS slot + Module 1</t>
  </si>
  <si>
    <t xml:space="preserve">RA</t>
  </si>
  <si>
    <t xml:space="preserve">No</t>
  </si>
  <si>
    <t xml:space="preserve">Waited for gap closure; RMS slot moved from month 4 to month 6.</t>
  </si>
  <si>
    <t xml:space="preserve">DCP (210 days + clock-stops)</t>
  </si>
  <si>
    <t xml:space="preserve">Day-120 clock-stop ran 4.5 months (dissolution method and nitrosamine risk assessment questions).</t>
  </si>
  <si>
    <t xml:space="preserve">National phase + translations</t>
  </si>
  <si>
    <t xml:space="preserve">RA / Affiliates</t>
  </si>
  <si>
    <t xml:space="preserve">Followed the late end of procedure; Germany licensed month 19, France 19.5, others month 20.</t>
  </si>
  <si>
    <t xml:space="preserve">Artworks to printed packs</t>
  </si>
  <si>
    <t xml:space="preserve">Labelling / Supply</t>
  </si>
  <si>
    <t xml:space="preserve">Decision to wait for final texts: drafts started after day 210 instead of during the clock-stop.</t>
  </si>
  <si>
    <t xml:space="preserve">EMVS onboarding + data</t>
  </si>
  <si>
    <t xml:space="preserve">Supply / QA</t>
  </si>
  <si>
    <t xml:space="preserve">Product master data waited for final GTINs and the German PZN; finished within slack.</t>
  </si>
  <si>
    <t xml:space="preserve">Launch batch manufacture</t>
  </si>
  <si>
    <t xml:space="preserve">Partner I / QA</t>
  </si>
  <si>
    <t xml:space="preserve">One batch failed dissolution (OOS investigation and remake, +2.5 months), absorbed by the artwork delay.</t>
  </si>
  <si>
    <t xml:space="preserve">Packing with final artwork</t>
  </si>
  <si>
    <t xml:space="preserve">Partner I</t>
  </si>
  <si>
    <t xml:space="preserve">Could only start once printed packs existed.</t>
  </si>
  <si>
    <t xml:space="preserve">EU testing + QP release</t>
  </si>
  <si>
    <t xml:space="preserve">Site Q / QP</t>
  </si>
  <si>
    <t xml:space="preserve">Import-testing lab capacity not booked in advance; first batch released month 22.5.</t>
  </si>
  <si>
    <t xml:space="preserve">Pricing / reimbursement (France)</t>
  </si>
  <si>
    <t xml:space="preserve">Market access</t>
  </si>
  <si>
    <t xml:space="preserve">French price negotiation and listing took 7.5 months; France launched month 27.</t>
  </si>
  <si>
    <t xml:space="preserve">First sale (Germany)</t>
  </si>
  <si>
    <t xml:space="preserve">PM</t>
  </si>
  <si>
    <t xml:space="preserve">Last gate: QP release at Site Q (month 22.5), plus shipment to wholesalers.</t>
  </si>
  <si>
    <t xml:space="preserve">Critical-path phases that slipped</t>
  </si>
  <si>
    <t xml:space="preserve">Count of critical-path phases that slipped (formula). Note: slips overlap, so they don't add up to the total delay.</t>
  </si>
  <si>
    <t xml:space="preserve">Country tracker: the gates per country</t>
  </si>
  <si>
    <t xml:space="preserve">Country</t>
  </si>
  <si>
    <t xml:space="preserve">Licence granted</t>
  </si>
  <si>
    <t xml:space="preserve">Artwork approved</t>
  </si>
  <si>
    <t xml:space="preserve">EMVS data loaded</t>
  </si>
  <si>
    <t xml:space="preserve">Pricing / reimbursement</t>
  </si>
  <si>
    <t xml:space="preserve">RAG</t>
  </si>
  <si>
    <t xml:space="preserve">Last gate (formula)</t>
  </si>
  <si>
    <t xml:space="preserve">Germany</t>
  </si>
  <si>
    <t xml:space="preserve">Free pricing at launch; listed month 22.5</t>
  </si>
  <si>
    <t xml:space="preserve">Netherlands</t>
  </si>
  <si>
    <t xml:space="preserve">Listing month 23</t>
  </si>
  <si>
    <t xml:space="preserve">Spain</t>
  </si>
  <si>
    <t xml:space="preserve">Price approved month 22.5</t>
  </si>
  <si>
    <t xml:space="preserve">Poland</t>
  </si>
  <si>
    <t xml:space="preserve">Reimbursement list month 25 (Braille error on first proofs)</t>
  </si>
  <si>
    <t xml:space="preserve">Italy</t>
  </si>
  <si>
    <t xml:space="preserve">Class A price month 24.5</t>
  </si>
  <si>
    <t xml:space="preserve">France</t>
  </si>
  <si>
    <t xml:space="preserve">CEPS price and listing month 27</t>
  </si>
  <si>
    <t xml:space="preserve">Note</t>
  </si>
  <si>
    <t xml:space="preserve">Last gate formula compares the latest of licence, artwork and EMVS with the QP release date on the Launch tracker. Where those were ready earlier, stock or price set the date.</t>
  </si>
  <si>
    <t xml:space="preserve">RACI: who does what</t>
  </si>
  <si>
    <t xml:space="preserve">Synthetic example (Project Kestrel). All names, dates and figures are invented for training. R = responsible, A = accountable (exactly one per row), C = consulted, I = informed.</t>
  </si>
  <si>
    <t xml:space="preserve">Task</t>
  </si>
  <si>
    <t xml:space="preserve">BD</t>
  </si>
  <si>
    <t xml:space="preserve">QA / QP</t>
  </si>
  <si>
    <t xml:space="preserve">Supply chain</t>
  </si>
  <si>
    <t xml:space="preserve">Labelling</t>
  </si>
  <si>
    <t xml:space="preserve">Site Q</t>
  </si>
  <si>
    <t xml:space="preserve">Country GM</t>
  </si>
  <si>
    <t xml:space="preserve">Check (formula)</t>
  </si>
  <si>
    <t xml:space="preserve">Licence and supply agreement</t>
  </si>
  <si>
    <t xml:space="preserve">A</t>
  </si>
  <si>
    <t xml:space="preserve">C</t>
  </si>
  <si>
    <t xml:space="preserve">I</t>
  </si>
  <si>
    <t xml:space="preserve">R</t>
  </si>
  <si>
    <t xml:space="preserve">Dossier transfer and gap analysis</t>
  </si>
  <si>
    <t xml:space="preserve">Gap closure (stability, written confirmation)</t>
  </si>
  <si>
    <t xml:space="preserve">DCP submission and responses</t>
  </si>
  <si>
    <t xml:space="preserve">National phase and translations</t>
  </si>
  <si>
    <t xml:space="preserve">Artwork drafts and approval</t>
  </si>
  <si>
    <t xml:space="preserve">Printed components and printer slots</t>
  </si>
  <si>
    <t xml:space="preserve">EMVS onboarding and master data</t>
  </si>
  <si>
    <t xml:space="preserve">Import testing and QP release</t>
  </si>
  <si>
    <t xml:space="preserve">Pricing and reimbursement dossiers</t>
  </si>
  <si>
    <t xml:space="preserve">Launch go/no-go per country</t>
  </si>
  <si>
    <t xml:space="preserve">Risk register (snapshot at month 10, with outcomes added later)</t>
  </si>
  <si>
    <t xml:space="preserve">Synthetic example (Project Kestrel). All names, dates and figures are invented for training. Likelihood and impact 1–5. Score = L × I. Red ≥ 15, Amber 8–14, Green ≤ 7.</t>
  </si>
  <si>
    <t xml:space="preserve">ID</t>
  </si>
  <si>
    <t xml:space="preserve">Risk</t>
  </si>
  <si>
    <t xml:space="preserve">Category</t>
  </si>
  <si>
    <t xml:space="preserve">Cause</t>
  </si>
  <si>
    <t xml:space="preserve">Likelihood (1–5)</t>
  </si>
  <si>
    <t xml:space="preserve">Impact (1–5)</t>
  </si>
  <si>
    <t xml:space="preserve">Score</t>
  </si>
  <si>
    <t xml:space="preserve">Action</t>
  </si>
  <si>
    <t xml:space="preserve">Due</t>
  </si>
  <si>
    <t xml:space="preserve">What actually happened</t>
  </si>
  <si>
    <t xml:space="preserve">R1</t>
  </si>
  <si>
    <t xml:space="preserve">DCP clock-stop longer than 3 months</t>
  </si>
  <si>
    <t xml:space="preserve">Regulatory</t>
  </si>
  <si>
    <t xml:space="preserve">Dissolution method and nitrosamine questions likely from RMS</t>
  </si>
  <si>
    <t xml:space="preserve">Pre-draft responses; nitrosamine risk assessment ready before submission</t>
  </si>
  <si>
    <t xml:space="preserve">Open</t>
  </si>
  <si>
    <t xml:space="preserve">Materialised: day-120 clock-stop 4.5 months (+1.5)</t>
  </si>
  <si>
    <t xml:space="preserve">R2</t>
  </si>
  <si>
    <t xml:space="preserve">API written confirmation expires before submission</t>
  </si>
  <si>
    <t xml:space="preserve">Regulatory / Quality</t>
  </si>
  <si>
    <t xml:space="preserve">Current confirmation valid to month 3</t>
  </si>
  <si>
    <t xml:space="preserve">QA</t>
  </si>
  <si>
    <t xml:space="preserve">Ask Partner I to start renewal at signing</t>
  </si>
  <si>
    <t xml:space="preserve">Closed late</t>
  </si>
  <si>
    <t xml:space="preserve">Materialised: renewal took 7 weeks during gap closure</t>
  </si>
  <si>
    <t xml:space="preserve">R3</t>
  </si>
  <si>
    <t xml:space="preserve">Artwork drafts start late</t>
  </si>
  <si>
    <t xml:space="preserve">Artwork</t>
  </si>
  <si>
    <t xml:space="preserve">Team prefers to wait for final national texts</t>
  </si>
  <si>
    <t xml:space="preserve">Start drafts at day 120 on the proposed texts</t>
  </si>
  <si>
    <t xml:space="preserve">Materialised: drafts started after day 210 (+2)</t>
  </si>
  <si>
    <t xml:space="preserve">R4</t>
  </si>
  <si>
    <t xml:space="preserve">Launch batch fails release testing</t>
  </si>
  <si>
    <t xml:space="preserve">Supply / Quality</t>
  </si>
  <si>
    <t xml:space="preserve">New site for this strength; dissolution borderline in validation</t>
  </si>
  <si>
    <t xml:space="preserve">Make a third batch; book retest slot</t>
  </si>
  <si>
    <t xml:space="preserve">Materialised but absorbed: one batch remade, inside slack</t>
  </si>
  <si>
    <t xml:space="preserve">R5</t>
  </si>
  <si>
    <t xml:space="preserve">Import-testing lab capacity at Site Q</t>
  </si>
  <si>
    <t xml:space="preserve">Supply</t>
  </si>
  <si>
    <t xml:space="preserve">Peak season in Q4; no slot booked</t>
  </si>
  <si>
    <t xml:space="preserve">Book testing slots 3 months ahead</t>
  </si>
  <si>
    <t xml:space="preserve">Materialised: release month 22.5 instead of 21.5</t>
  </si>
  <si>
    <t xml:space="preserve">R6</t>
  </si>
  <si>
    <t xml:space="preserve">Printer slot for Braille cartons</t>
  </si>
  <si>
    <t xml:space="preserve">One printer for all six countries</t>
  </si>
  <si>
    <t xml:space="preserve">Reserve slots at day 180</t>
  </si>
  <si>
    <t xml:space="preserve">Partly: Polish Braille error on first proofs (+1 for Poland)</t>
  </si>
  <si>
    <t xml:space="preserve">R7</t>
  </si>
  <si>
    <t xml:space="preserve">Patent or SPC blocks launch</t>
  </si>
  <si>
    <t xml:space="preserve">IP</t>
  </si>
  <si>
    <t xml:space="preserve">SPC expiry month 17 in all six countries</t>
  </si>
  <si>
    <t xml:space="preserve">BD / Legal</t>
  </si>
  <si>
    <t xml:space="preserve">Confirm no paediatric extension or new patents; FTO opinion</t>
  </si>
  <si>
    <t xml:space="preserve">Closed</t>
  </si>
  <si>
    <t xml:space="preserve">Did not materialise: SPC expired month 17, before licence</t>
  </si>
  <si>
    <t xml:space="preserve">R8</t>
  </si>
  <si>
    <t xml:space="preserve">French pricing and listing slower than plan</t>
  </si>
  <si>
    <t xml:space="preserve">CEPS negotiation; plan assumed 2 months</t>
  </si>
  <si>
    <t xml:space="preserve">Prepare price dossier before licence</t>
  </si>
  <si>
    <t xml:space="preserve">Materialised: France launched month 27</t>
  </si>
  <si>
    <t xml:space="preserve">Top 3</t>
  </si>
  <si>
    <t xml:space="preserve">Top three by score (ties show the first match). Review these every week.</t>
  </si>
  <si>
    <t xml:space="preserve">Decision log</t>
  </si>
  <si>
    <t xml:space="preserve">Synthetic example (Project Kestrel). All names, dates and figures are invented for training. One line per decision, so it isn't re-opened by accident.</t>
  </si>
  <si>
    <t xml:space="preserve">#</t>
  </si>
  <si>
    <t xml:space="preserve">Date</t>
  </si>
  <si>
    <t xml:space="preserve">Decision</t>
  </si>
  <si>
    <t xml:space="preserve">Options considered</t>
  </si>
  <si>
    <t xml:space="preserve">Decided by</t>
  </si>
  <si>
    <t xml:space="preserve">Impact on the plan</t>
  </si>
  <si>
    <t xml:space="preserve">Revisit by</t>
  </si>
  <si>
    <t xml:space="preserve">Rebuild Module 3 in eCTD before gap analysis</t>
  </si>
  <si>
    <t xml:space="preserve">Rebuild now / submit old format and fix later</t>
  </si>
  <si>
    <t xml:space="preserve">Head of RA</t>
  </si>
  <si>
    <t xml:space="preserve">+1 month to transfer; avoided validation failure at RMS</t>
  </si>
  <si>
    <t xml:space="preserve">Delay submission until 18-month stability data and renewed written confirmation</t>
  </si>
  <si>
    <t xml:space="preserve">Submit at month 4 with commitments / wait to month 6</t>
  </si>
  <si>
    <t xml:space="preserve">Head of RA + Head of QA</t>
  </si>
  <si>
    <t xml:space="preserve">+2 months to submission; avoided a likely refusal at validation</t>
  </si>
  <si>
    <t xml:space="preserve">Wait for final national texts before drafting artworks</t>
  </si>
  <si>
    <t xml:space="preserve">Draft at day 120 on proposed texts / wait for day 210</t>
  </si>
  <si>
    <t xml:space="preserve">Labelling lead</t>
  </si>
  <si>
    <t xml:space="preserve">Saved rework but cost about 2 months on the critical path</t>
  </si>
  <si>
    <t xml:space="preserve">Make a third launch batch after the dissolution OOS</t>
  </si>
  <si>
    <t xml:space="preserve">Release the two passing batches only / make a third batch</t>
  </si>
  <si>
    <t xml:space="preserve">Head of QA + Supply</t>
  </si>
  <si>
    <t xml:space="preserve">+2.5 months to batches; absorbed by artwork delay</t>
  </si>
  <si>
    <t xml:space="preserve">Launch Germany first, other countries as packs and prices allow</t>
  </si>
  <si>
    <t xml:space="preserve">Wait for a joint six-country launch / staggered launch</t>
  </si>
  <si>
    <t xml:space="preserve">Launch committee</t>
  </si>
  <si>
    <t xml:space="preserve">Germany first sale month 23; others months 23.5–27</t>
  </si>
  <si>
    <t xml:space="preserve">Pay for priority import testing at Site Q</t>
  </si>
  <si>
    <t xml:space="preserve">Standard queue / priority slot</t>
  </si>
  <si>
    <t xml:space="preserve">Supply lead</t>
  </si>
  <si>
    <t xml:space="preserve">Recovered about 3 weeks</t>
  </si>
  <si>
    <t xml:space="preserve">Capstone: walk Project Kestrel backwards</t>
  </si>
  <si>
    <t xml:space="preserve">Synthetic example (Project Kestrel). All names, dates and figures are invented for training. Slips link to the Launch tracker.</t>
  </si>
  <si>
    <t xml:space="preserve">Step / phase</t>
  </si>
  <si>
    <t xml:space="preserve">Early-warning document</t>
  </si>
  <si>
    <t xml:space="preserve">Lesson for next time</t>
  </si>
  <si>
    <t xml:space="preserve">1. First sale (Germany)</t>
  </si>
  <si>
    <t xml:space="preserve">First sale date, then work backwards.</t>
  </si>
  <si>
    <t xml:space="preserve">2. Last gate to open</t>
  </si>
  <si>
    <t xml:space="preserve">Released stock: QP release month 22.5. Licence (month 19) and SPC expiry (month 17) were earlier.</t>
  </si>
  <si>
    <t xml:space="preserve">3–5. Phase by phase</t>
  </si>
  <si>
    <t xml:space="preserve">Due-diligence checklist (dossier format)</t>
  </si>
  <si>
    <t xml:space="preserve">Check eCTD format and Module 3 completeness before signing; price the rebuild into the deal.</t>
  </si>
  <si>
    <t xml:space="preserve">Written confirmation and stability summary in the data room</t>
  </si>
  <si>
    <t xml:space="preserve">List every document expiry date at signing; ask the partner to renew anything expiring within 6 months.</t>
  </si>
  <si>
    <t xml:space="preserve">DCP</t>
  </si>
  <si>
    <t xml:space="preserve">RMS assessment report trends and previous questions on the molecule</t>
  </si>
  <si>
    <t xml:space="preserve">Prepare dissolution justification and nitrosamine assessment before submission.</t>
  </si>
  <si>
    <t xml:space="preserve">National phase</t>
  </si>
  <si>
    <t xml:space="preserve">CMS translation timelines</t>
  </si>
  <si>
    <t xml:space="preserve">Book translators for all national languages before day 180.</t>
  </si>
  <si>
    <t xml:space="preserve">Artworks</t>
  </si>
  <si>
    <t xml:space="preserve">Decision log entry, month 9.5</t>
  </si>
  <si>
    <t xml:space="preserve">Start drafts at day 120 on the proposed texts; accept small rework to protect the critical path.</t>
  </si>
  <si>
    <t xml:space="preserve">EMVS</t>
  </si>
  <si>
    <t xml:space="preserve">GTIN/PZN request list</t>
  </si>
  <si>
    <t xml:space="preserve">Request GTINs and national codes at submission, not at licence.</t>
  </si>
  <si>
    <t xml:space="preserve">Launch batches</t>
  </si>
  <si>
    <t xml:space="preserve">Process validation report (borderline dissolution)</t>
  </si>
  <si>
    <t xml:space="preserve">Plan a spare batch when validation results are borderline.</t>
  </si>
  <si>
    <t xml:space="preserve">Site Q capacity calendar</t>
  </si>
  <si>
    <t xml:space="preserve">Book import-testing slots three months ahead; confirm the testing method transfer.</t>
  </si>
  <si>
    <t xml:space="preserve">Country P&amp;R calendars</t>
  </si>
  <si>
    <t xml:space="preserve">Prepare price dossiers before the licence; stagger launches deliberately.</t>
  </si>
  <si>
    <t xml:space="preserve">Questions to answer together</t>
  </si>
  <si>
    <t xml:space="preserve">What was on the critical path, and was it the one you expected?  (Expected: DCP. Actual: transfer, gap closure, DCP, artwork, QP release.)</t>
  </si>
  <si>
    <t xml:space="preserve">Which slip could have been seen earlier, and from which document?  (The written-confirmation expiry date was in the data room at signing.)</t>
  </si>
  <si>
    <t xml:space="preserve">Which phase overlapped well, and which didn't?  (EMVS and the batch remake ran in slack; artwork drafts did not overlap the clock-stop.)</t>
  </si>
  <si>
    <t xml:space="preserve">What would you put in the risk register next time?  (Import-testing capacity as a top-3 risk from month 12.)</t>
  </si>
  <si>
    <t xml:space="preserve">Blank template. R = responsible, A = accountable (exactly one per row), C = consulted, I = informed.</t>
  </si>
  <si>
    <t xml:space="preserve">Risk register</t>
  </si>
  <si>
    <t xml:space="preserve">Blank template. Likelihood and impact 1–5. Score = L × I. Red ≥ 15, Amber 8–14, Green ≤ 7.</t>
  </si>
  <si>
    <t xml:space="preserve">R9</t>
  </si>
  <si>
    <t xml:space="preserve">R10</t>
  </si>
  <si>
    <t xml:space="preserve">R11</t>
  </si>
  <si>
    <t xml:space="preserve">R12</t>
  </si>
  <si>
    <t xml:space="preserve">Blank template. One line per decision, so it isn't re-opened by accident.</t>
  </si>
</sst>
</file>

<file path=xl/styles.xml><?xml version="1.0" encoding="utf-8"?>
<styleSheet xmlns="http://schemas.openxmlformats.org/spreadsheetml/2006/main">
  <numFmts count="6">
    <numFmt numFmtId="164" formatCode="General"/>
    <numFmt numFmtId="165" formatCode="dd\ mmm\ yyyy"/>
    <numFmt numFmtId="166" formatCode="0;\-0;0"/>
    <numFmt numFmtId="167" formatCode="0.0;\-0.0;0.0"/>
    <numFmt numFmtId="168" formatCode="0"/>
    <numFmt numFmtId="169"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9"/>
      <color rgb="FF595959"/>
      <name val="Arial"/>
      <family val="0"/>
      <charset val="1"/>
    </font>
    <font>
      <b val="true"/>
      <sz val="10"/>
      <color rgb="FF000000"/>
      <name val="Arial"/>
      <family val="0"/>
      <charset val="1"/>
    </font>
    <font>
      <sz val="10"/>
      <color rgb="FF000000"/>
      <name val="Arial"/>
      <family val="0"/>
      <charset val="1"/>
    </font>
    <font>
      <b val="true"/>
      <sz val="11"/>
      <name val="Arial"/>
      <family val="0"/>
      <charset val="1"/>
    </font>
    <font>
      <sz val="10"/>
      <color rgb="FF0000FF"/>
      <name val="Arial"/>
      <family val="0"/>
      <charset val="1"/>
    </font>
    <font>
      <b val="true"/>
      <sz val="11"/>
      <color rgb="FFFFFFFF"/>
      <name val="Arial"/>
      <family val="0"/>
      <charset val="1"/>
    </font>
    <font>
      <sz val="10"/>
      <color rgb="FF008000"/>
      <name val="Arial"/>
      <family val="0"/>
      <charset val="1"/>
    </font>
  </fonts>
  <fills count="4">
    <fill>
      <patternFill patternType="none"/>
    </fill>
    <fill>
      <patternFill patternType="gray125"/>
    </fill>
    <fill>
      <patternFill patternType="solid">
        <fgColor rgb="FFFFF2CC"/>
        <bgColor rgb="FFFFE699"/>
      </patternFill>
    </fill>
    <fill>
      <patternFill patternType="solid">
        <fgColor rgb="FF1F3A5F"/>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5" fontId="9" fillId="2"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9"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23.8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2" customFormat="false" ht="15" hidden="false" customHeight="false" outlineLevel="0" collapsed="false">
      <c r="A12" s="5" t="s">
        <v>16</v>
      </c>
    </row>
    <row r="13" customFormat="false" ht="15" hidden="false" customHeight="false" outlineLevel="0" collapsed="false">
      <c r="A13" s="6" t="s">
        <v>17</v>
      </c>
      <c r="B13" s="4" t="s">
        <v>18</v>
      </c>
    </row>
    <row r="14" customFormat="false" ht="15" hidden="false" customHeight="false" outlineLevel="0" collapsed="false">
      <c r="A14" s="4" t="s">
        <v>19</v>
      </c>
      <c r="B14" s="4" t="s">
        <v>20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17.35" hidden="false" customHeight="false" outlineLevel="0" collapsed="false">
      <c r="A1" s="1" t="s">
        <v>21</v>
      </c>
    </row>
    <row r="2" customFormat="false" ht="15" hidden="false" customHeight="false" outlineLevel="0" collapsed="false">
      <c r="A2" s="2" t="s">
        <v>1</v>
      </c>
    </row>
    <row r="4" customFormat="false" ht="15" hidden="false" customHeight="false" outlineLevel="0" collapsed="false">
      <c r="A4" s="3" t="s">
        <v>22</v>
      </c>
      <c r="B4" s="4" t="s">
        <v>23</v>
      </c>
    </row>
    <row r="5" customFormat="false" ht="15" hidden="false" customHeight="false" outlineLevel="0" collapsed="false">
      <c r="A5" s="3" t="s">
        <v>24</v>
      </c>
      <c r="B5" s="4" t="s">
        <v>25</v>
      </c>
    </row>
    <row r="6" customFormat="false" ht="15" hidden="false" customHeight="false" outlineLevel="0" collapsed="false">
      <c r="A6" s="3" t="s">
        <v>26</v>
      </c>
      <c r="B6" s="4" t="s">
        <v>27</v>
      </c>
    </row>
    <row r="7" customFormat="false" ht="15" hidden="false" customHeight="false" outlineLevel="0" collapsed="false">
      <c r="A7" s="3" t="s">
        <v>28</v>
      </c>
      <c r="B7" s="4" t="s">
        <v>29</v>
      </c>
    </row>
    <row r="8" customFormat="false" ht="15" hidden="false" customHeight="false" outlineLevel="0" collapsed="false">
      <c r="A8" s="3" t="s">
        <v>30</v>
      </c>
      <c r="B8" s="4" t="s">
        <v>31</v>
      </c>
    </row>
    <row r="9" customFormat="false" ht="15" hidden="false" customHeight="false" outlineLevel="0" collapsed="false">
      <c r="A9" s="3" t="s">
        <v>32</v>
      </c>
      <c r="B9" s="4" t="s">
        <v>33</v>
      </c>
    </row>
    <row r="10" customFormat="false" ht="15" hidden="false" customHeight="false" outlineLevel="0" collapsed="false">
      <c r="A10" s="3" t="s">
        <v>34</v>
      </c>
      <c r="B10" s="4" t="s">
        <v>35</v>
      </c>
    </row>
    <row r="11" customFormat="false" ht="15" hidden="false" customHeight="false" outlineLevel="0" collapsed="false">
      <c r="A11" s="3" t="s">
        <v>36</v>
      </c>
      <c r="B11" s="4" t="s">
        <v>37</v>
      </c>
    </row>
    <row r="12" customFormat="false" ht="15" hidden="false" customHeight="false" outlineLevel="0" collapsed="false">
      <c r="A12" s="3" t="s">
        <v>38</v>
      </c>
      <c r="B12" s="4" t="s">
        <v>39</v>
      </c>
    </row>
    <row r="13" customFormat="false" ht="15" hidden="false" customHeight="false" outlineLevel="0" collapsed="false">
      <c r="A13" s="3" t="s">
        <v>40</v>
      </c>
      <c r="B13" s="4" t="s">
        <v>41</v>
      </c>
    </row>
    <row r="15" customFormat="false" ht="15" hidden="false" customHeight="false" outlineLevel="0" collapsed="false">
      <c r="A15" s="3" t="s">
        <v>42</v>
      </c>
      <c r="B15" s="7" t="n">
        <v>44928</v>
      </c>
    </row>
    <row r="16" customFormat="false" ht="15" hidden="false" customHeight="false" outlineLevel="0" collapsed="false">
      <c r="A16" s="3" t="s">
        <v>43</v>
      </c>
      <c r="B16" s="6" t="n">
        <v>17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6" min="3" style="0" width="13"/>
    <col collapsed="false" customWidth="true" hidden="false" outlineLevel="0" max="8" min="7" style="0" width="11"/>
    <col collapsed="false" customWidth="true" hidden="false" outlineLevel="0" max="9" min="9" style="0" width="13"/>
    <col collapsed="false" customWidth="true" hidden="false" outlineLevel="0" max="10" min="10" style="0" width="11"/>
    <col collapsed="false" customWidth="true" hidden="false" outlineLevel="0" max="11" min="11" style="0" width="70"/>
  </cols>
  <sheetData>
    <row r="1" customFormat="false" ht="17.35" hidden="false" customHeight="false" outlineLevel="0" collapsed="false">
      <c r="A1" s="1" t="s">
        <v>44</v>
      </c>
    </row>
    <row r="2" customFormat="false" ht="15" hidden="false" customHeight="false" outlineLevel="0" collapsed="false">
      <c r="A2" s="2" t="s">
        <v>45</v>
      </c>
    </row>
    <row r="4" customFormat="false" ht="31.5" hidden="false" customHeight="true" outlineLevel="0" collapsed="false">
      <c r="A4" s="8" t="s">
        <v>46</v>
      </c>
      <c r="B4" s="8" t="s">
        <v>47</v>
      </c>
      <c r="C4" s="8" t="s">
        <v>48</v>
      </c>
      <c r="D4" s="8" t="s">
        <v>49</v>
      </c>
      <c r="E4" s="8" t="s">
        <v>50</v>
      </c>
      <c r="F4" s="8" t="s">
        <v>51</v>
      </c>
      <c r="G4" s="8" t="s">
        <v>52</v>
      </c>
      <c r="H4" s="8" t="s">
        <v>53</v>
      </c>
      <c r="I4" s="8" t="s">
        <v>14</v>
      </c>
      <c r="J4" s="8" t="s">
        <v>54</v>
      </c>
      <c r="K4" s="8" t="s">
        <v>55</v>
      </c>
    </row>
    <row r="5" customFormat="false" ht="15" hidden="false" customHeight="false" outlineLevel="0" collapsed="false">
      <c r="A5" s="6" t="s">
        <v>56</v>
      </c>
      <c r="B5" s="6" t="s">
        <v>57</v>
      </c>
      <c r="C5" s="7" t="n">
        <v>44928</v>
      </c>
      <c r="D5" s="7" t="n">
        <v>44974</v>
      </c>
      <c r="E5" s="7" t="n">
        <v>44928</v>
      </c>
      <c r="F5" s="7" t="n">
        <v>45002</v>
      </c>
      <c r="G5" s="9" t="n">
        <f aca="false">IF(F5="","",F5-D5)</f>
        <v>28</v>
      </c>
      <c r="H5" s="10" t="n">
        <f aca="false">IF(G5="","",ROUND(G5/30.4,1))</f>
        <v>0.9</v>
      </c>
      <c r="I5" s="4" t="str">
        <f aca="false">IF(F5="","Open",IF(G5&lt;=0,"Green",IF(G5&lt;=30,"Amber","Red")))</f>
        <v>Amber</v>
      </c>
      <c r="J5" s="6" t="s">
        <v>58</v>
      </c>
      <c r="K5" s="6" t="s">
        <v>59</v>
      </c>
    </row>
    <row r="6" customFormat="false" ht="23.85" hidden="false" customHeight="false" outlineLevel="0" collapsed="false">
      <c r="A6" s="6" t="s">
        <v>60</v>
      </c>
      <c r="B6" s="6" t="s">
        <v>61</v>
      </c>
      <c r="C6" s="7" t="n">
        <v>44959</v>
      </c>
      <c r="D6" s="7" t="n">
        <v>45048</v>
      </c>
      <c r="E6" s="7" t="n">
        <v>44959</v>
      </c>
      <c r="F6" s="7" t="n">
        <v>45109</v>
      </c>
      <c r="G6" s="9" t="n">
        <f aca="false">IF(F6="","",F6-D6)</f>
        <v>61</v>
      </c>
      <c r="H6" s="10" t="n">
        <f aca="false">IF(G6="","",ROUND(G6/30.4,1))</f>
        <v>2</v>
      </c>
      <c r="I6" s="4" t="str">
        <f aca="false">IF(F6="","Open",IF(G6&lt;=0,"Green",IF(G6&lt;=30,"Amber","Red")))</f>
        <v>Red</v>
      </c>
      <c r="J6" s="6" t="s">
        <v>58</v>
      </c>
      <c r="K6" s="6" t="s">
        <v>62</v>
      </c>
    </row>
    <row r="7" customFormat="false" ht="15" hidden="false" customHeight="false" outlineLevel="0" collapsed="false">
      <c r="A7" s="6" t="s">
        <v>63</v>
      </c>
      <c r="B7" s="6" t="s">
        <v>64</v>
      </c>
      <c r="C7" s="7" t="n">
        <v>44987</v>
      </c>
      <c r="D7" s="7" t="n">
        <v>45048</v>
      </c>
      <c r="E7" s="7" t="n">
        <v>44987</v>
      </c>
      <c r="F7" s="7" t="n">
        <v>45109</v>
      </c>
      <c r="G7" s="9" t="n">
        <f aca="false">IF(F7="","",F7-D7)</f>
        <v>61</v>
      </c>
      <c r="H7" s="10" t="n">
        <f aca="false">IF(G7="","",ROUND(G7/30.4,1))</f>
        <v>2</v>
      </c>
      <c r="I7" s="4" t="str">
        <f aca="false">IF(F7="","Open",IF(G7&lt;=0,"Green",IF(G7&lt;=30,"Amber","Red")))</f>
        <v>Red</v>
      </c>
      <c r="J7" s="6" t="s">
        <v>65</v>
      </c>
      <c r="K7" s="6" t="s">
        <v>66</v>
      </c>
    </row>
    <row r="8" customFormat="false" ht="23.85" hidden="false" customHeight="false" outlineLevel="0" collapsed="false">
      <c r="A8" s="6" t="s">
        <v>67</v>
      </c>
      <c r="B8" s="6" t="s">
        <v>64</v>
      </c>
      <c r="C8" s="7" t="n">
        <v>45048</v>
      </c>
      <c r="D8" s="7" t="n">
        <v>45353</v>
      </c>
      <c r="E8" s="7" t="n">
        <v>45109</v>
      </c>
      <c r="F8" s="7" t="n">
        <v>45460</v>
      </c>
      <c r="G8" s="9" t="n">
        <f aca="false">IF(F8="","",F8-D8)</f>
        <v>107</v>
      </c>
      <c r="H8" s="10" t="n">
        <f aca="false">IF(G8="","",ROUND(G8/30.4,1))</f>
        <v>3.5</v>
      </c>
      <c r="I8" s="4" t="str">
        <f aca="false">IF(F8="","Open",IF(G8&lt;=0,"Green",IF(G8&lt;=30,"Amber","Red")))</f>
        <v>Red</v>
      </c>
      <c r="J8" s="6" t="s">
        <v>58</v>
      </c>
      <c r="K8" s="6" t="s">
        <v>68</v>
      </c>
    </row>
    <row r="9" customFormat="false" ht="23.85" hidden="false" customHeight="false" outlineLevel="0" collapsed="false">
      <c r="A9" s="6" t="s">
        <v>69</v>
      </c>
      <c r="B9" s="6" t="s">
        <v>70</v>
      </c>
      <c r="C9" s="7" t="n">
        <v>45353</v>
      </c>
      <c r="D9" s="7" t="n">
        <v>45399</v>
      </c>
      <c r="E9" s="7" t="n">
        <v>45460</v>
      </c>
      <c r="F9" s="7" t="n">
        <v>45506</v>
      </c>
      <c r="G9" s="9" t="n">
        <f aca="false">IF(F9="","",F9-D9)</f>
        <v>107</v>
      </c>
      <c r="H9" s="10" t="n">
        <f aca="false">IF(G9="","",ROUND(G9/30.4,1))</f>
        <v>3.5</v>
      </c>
      <c r="I9" s="4" t="str">
        <f aca="false">IF(F9="","Open",IF(G9&lt;=0,"Green",IF(G9&lt;=30,"Amber","Red")))</f>
        <v>Red</v>
      </c>
      <c r="J9" s="6" t="s">
        <v>58</v>
      </c>
      <c r="K9" s="6" t="s">
        <v>71</v>
      </c>
    </row>
    <row r="10" customFormat="false" ht="23.85" hidden="false" customHeight="false" outlineLevel="0" collapsed="false">
      <c r="A10" s="6" t="s">
        <v>72</v>
      </c>
      <c r="B10" s="6" t="s">
        <v>73</v>
      </c>
      <c r="C10" s="7" t="n">
        <v>45262</v>
      </c>
      <c r="D10" s="7" t="n">
        <v>45429</v>
      </c>
      <c r="E10" s="7" t="n">
        <v>45460</v>
      </c>
      <c r="F10" s="7" t="n">
        <v>45552</v>
      </c>
      <c r="G10" s="9" t="n">
        <f aca="false">IF(F10="","",F10-D10)</f>
        <v>123</v>
      </c>
      <c r="H10" s="10" t="n">
        <f aca="false">IF(G10="","",ROUND(G10/30.4,1))</f>
        <v>4</v>
      </c>
      <c r="I10" s="4" t="str">
        <f aca="false">IF(F10="","Open",IF(G10&lt;=0,"Green",IF(G10&lt;=30,"Amber","Red")))</f>
        <v>Red</v>
      </c>
      <c r="J10" s="6" t="s">
        <v>58</v>
      </c>
      <c r="K10" s="6" t="s">
        <v>74</v>
      </c>
    </row>
    <row r="11" customFormat="false" ht="15" hidden="false" customHeight="false" outlineLevel="0" collapsed="false">
      <c r="A11" s="6" t="s">
        <v>75</v>
      </c>
      <c r="B11" s="6" t="s">
        <v>76</v>
      </c>
      <c r="C11" s="7" t="n">
        <v>45293</v>
      </c>
      <c r="D11" s="7" t="n">
        <v>45384</v>
      </c>
      <c r="E11" s="7" t="n">
        <v>45353</v>
      </c>
      <c r="F11" s="7" t="n">
        <v>45537</v>
      </c>
      <c r="G11" s="9" t="n">
        <f aca="false">IF(F11="","",F11-D11)</f>
        <v>153</v>
      </c>
      <c r="H11" s="10" t="n">
        <f aca="false">IF(G11="","",ROUND(G11/30.4,1))</f>
        <v>5</v>
      </c>
      <c r="I11" s="4" t="str">
        <f aca="false">IF(F11="","Open",IF(G11&lt;=0,"Green",IF(G11&lt;=30,"Amber","Red")))</f>
        <v>Red</v>
      </c>
      <c r="J11" s="6" t="s">
        <v>65</v>
      </c>
      <c r="K11" s="6" t="s">
        <v>77</v>
      </c>
    </row>
    <row r="12" customFormat="false" ht="23.85" hidden="false" customHeight="false" outlineLevel="0" collapsed="false">
      <c r="A12" s="6" t="s">
        <v>78</v>
      </c>
      <c r="B12" s="6" t="s">
        <v>79</v>
      </c>
      <c r="C12" s="7" t="n">
        <v>45293</v>
      </c>
      <c r="D12" s="7" t="n">
        <v>45414</v>
      </c>
      <c r="E12" s="7" t="n">
        <v>45324</v>
      </c>
      <c r="F12" s="7" t="n">
        <v>45490</v>
      </c>
      <c r="G12" s="9" t="n">
        <f aca="false">IF(F12="","",F12-D12)</f>
        <v>76</v>
      </c>
      <c r="H12" s="10" t="n">
        <f aca="false">IF(G12="","",ROUND(G12/30.4,1))</f>
        <v>2.5</v>
      </c>
      <c r="I12" s="4" t="str">
        <f aca="false">IF(F12="","Open",IF(G12&lt;=0,"Green",IF(G12&lt;=30,"Amber","Red")))</f>
        <v>Red</v>
      </c>
      <c r="J12" s="6" t="s">
        <v>65</v>
      </c>
      <c r="K12" s="6" t="s">
        <v>80</v>
      </c>
    </row>
    <row r="13" customFormat="false" ht="15" hidden="false" customHeight="false" outlineLevel="0" collapsed="false">
      <c r="A13" s="6" t="s">
        <v>81</v>
      </c>
      <c r="B13" s="6" t="s">
        <v>82</v>
      </c>
      <c r="C13" s="7" t="n">
        <v>45429</v>
      </c>
      <c r="D13" s="7" t="n">
        <v>45445</v>
      </c>
      <c r="E13" s="7" t="n">
        <v>45552</v>
      </c>
      <c r="F13" s="7" t="n">
        <v>45567</v>
      </c>
      <c r="G13" s="9" t="n">
        <f aca="false">IF(F13="","",F13-D13)</f>
        <v>122</v>
      </c>
      <c r="H13" s="10" t="n">
        <f aca="false">IF(G13="","",ROUND(G13/30.4,1))</f>
        <v>4</v>
      </c>
      <c r="I13" s="4" t="str">
        <f aca="false">IF(F13="","Open",IF(G13&lt;=0,"Green",IF(G13&lt;=30,"Amber","Red")))</f>
        <v>Red</v>
      </c>
      <c r="J13" s="6" t="s">
        <v>58</v>
      </c>
      <c r="K13" s="6" t="s">
        <v>83</v>
      </c>
    </row>
    <row r="14" customFormat="false" ht="15" hidden="false" customHeight="false" outlineLevel="0" collapsed="false">
      <c r="A14" s="6" t="s">
        <v>84</v>
      </c>
      <c r="B14" s="6" t="s">
        <v>85</v>
      </c>
      <c r="C14" s="7" t="n">
        <v>45445</v>
      </c>
      <c r="D14" s="7" t="n">
        <v>45475</v>
      </c>
      <c r="E14" s="7" t="n">
        <v>45567</v>
      </c>
      <c r="F14" s="7" t="n">
        <v>45613</v>
      </c>
      <c r="G14" s="9" t="n">
        <f aca="false">IF(F14="","",F14-D14)</f>
        <v>138</v>
      </c>
      <c r="H14" s="10" t="n">
        <f aca="false">IF(G14="","",ROUND(G14/30.4,1))</f>
        <v>4.5</v>
      </c>
      <c r="I14" s="4" t="str">
        <f aca="false">IF(F14="","Open",IF(G14&lt;=0,"Green",IF(G14&lt;=30,"Amber","Red")))</f>
        <v>Red</v>
      </c>
      <c r="J14" s="6" t="s">
        <v>58</v>
      </c>
      <c r="K14" s="6" t="s">
        <v>86</v>
      </c>
    </row>
    <row r="15" customFormat="false" ht="15" hidden="false" customHeight="false" outlineLevel="0" collapsed="false">
      <c r="A15" s="6" t="s">
        <v>87</v>
      </c>
      <c r="B15" s="6" t="s">
        <v>88</v>
      </c>
      <c r="C15" s="7" t="n">
        <v>45399</v>
      </c>
      <c r="D15" s="7" t="n">
        <v>45460</v>
      </c>
      <c r="E15" s="7" t="n">
        <v>45521</v>
      </c>
      <c r="F15" s="7" t="n">
        <v>45749</v>
      </c>
      <c r="G15" s="9" t="n">
        <f aca="false">IF(F15="","",F15-D15)</f>
        <v>289</v>
      </c>
      <c r="H15" s="10" t="n">
        <f aca="false">IF(G15="","",ROUND(G15/30.4,1))</f>
        <v>9.5</v>
      </c>
      <c r="I15" s="4" t="str">
        <f aca="false">IF(F15="","Open",IF(G15&lt;=0,"Green",IF(G15&lt;=30,"Amber","Red")))</f>
        <v>Red</v>
      </c>
      <c r="J15" s="6" t="s">
        <v>65</v>
      </c>
      <c r="K15" s="6" t="s">
        <v>89</v>
      </c>
    </row>
    <row r="17" customFormat="false" ht="15" hidden="false" customHeight="false" outlineLevel="0" collapsed="false">
      <c r="A17" s="3" t="s">
        <v>90</v>
      </c>
      <c r="B17" s="4" t="s">
        <v>91</v>
      </c>
      <c r="D17" s="7" t="n">
        <v>45475</v>
      </c>
      <c r="F17" s="7" t="n">
        <v>45628</v>
      </c>
      <c r="G17" s="11" t="n">
        <f aca="false">F17-D17</f>
        <v>153</v>
      </c>
      <c r="H17" s="12" t="n">
        <f aca="false">ROUND(G17/30.4,1)</f>
        <v>5</v>
      </c>
      <c r="I17" s="4" t="str">
        <f aca="false">IF(G17&lt;=0,"Green",IF(G17&lt;=30,"Amber","Red"))</f>
        <v>Red</v>
      </c>
      <c r="K17" s="4" t="s">
        <v>92</v>
      </c>
    </row>
    <row r="18" customFormat="false" ht="23.85" hidden="false" customHeight="false" outlineLevel="0" collapsed="false">
      <c r="A18" s="3" t="s">
        <v>93</v>
      </c>
      <c r="H18" s="11" t="n">
        <f aca="false">SUMPRODUCT((J5:J15="Yes")*(H5:H15&gt;0)*1)</f>
        <v>7</v>
      </c>
      <c r="K18" s="4" t="s">
        <v>94</v>
      </c>
    </row>
  </sheetData>
  <conditionalFormatting sqref="I5:I15">
    <cfRule type="cellIs" priority="2" operator="equal" aboveAverage="0" equalAverage="0" bottom="0" percent="0" rank="0" text="" dxfId="0">
      <formula>"Red"</formula>
    </cfRule>
    <cfRule type="cellIs" priority="3" operator="equal" aboveAverage="0" equalAverage="0" bottom="0" percent="0" rank="0" text="" dxfId="1">
      <formula>"Amber"</formula>
    </cfRule>
    <cfRule type="cellIs" priority="4" operator="equal" aboveAverage="0" equalAverage="0" bottom="0" percent="0" rank="0" text="" dxfId="2">
      <formula>"Green"</formula>
    </cfRule>
  </conditionalFormatting>
  <conditionalFormatting sqref="I17">
    <cfRule type="cellIs" priority="5" operator="equal" aboveAverage="0" equalAverage="0" bottom="0" percent="0" rank="0" text="" dxfId="0">
      <formula>"Red"</formula>
    </cfRule>
    <cfRule type="cellIs" priority="6" operator="equal" aboveAverage="0" equalAverage="0" bottom="0" percent="0" rank="0" text="" dxfId="1">
      <formula>"Amber"</formula>
    </cfRule>
    <cfRule type="cellIs" priority="7" operator="equal" aboveAverage="0" equalAverage="0" bottom="0" percent="0" rank="0" text="" dxfId="2">
      <formula>"Green"</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44"/>
    <col collapsed="false" customWidth="true" hidden="false" outlineLevel="0" max="7" min="6" style="0" width="14"/>
    <col collapsed="false" customWidth="true" hidden="false" outlineLevel="0" max="8" min="8" style="0" width="11"/>
    <col collapsed="false" customWidth="true" hidden="false" outlineLevel="0" max="9" min="9" style="0" width="9"/>
    <col collapsed="false" customWidth="true" hidden="false" outlineLevel="0" max="10" min="10" style="0" width="22"/>
  </cols>
  <sheetData>
    <row r="1" customFormat="false" ht="17.35" hidden="false" customHeight="false" outlineLevel="0" collapsed="false">
      <c r="A1" s="1" t="s">
        <v>95</v>
      </c>
    </row>
    <row r="2" customFormat="false" ht="15" hidden="false" customHeight="false" outlineLevel="0" collapsed="false">
      <c r="A2" s="2" t="s">
        <v>1</v>
      </c>
    </row>
    <row r="4" customFormat="false" ht="31.5" hidden="false" customHeight="true" outlineLevel="0" collapsed="false">
      <c r="A4" s="8" t="s">
        <v>96</v>
      </c>
      <c r="B4" s="8" t="s">
        <v>97</v>
      </c>
      <c r="C4" s="8" t="s">
        <v>98</v>
      </c>
      <c r="D4" s="8" t="s">
        <v>99</v>
      </c>
      <c r="E4" s="8" t="s">
        <v>100</v>
      </c>
      <c r="F4" s="8" t="s">
        <v>36</v>
      </c>
      <c r="G4" s="8" t="s">
        <v>38</v>
      </c>
      <c r="H4" s="8" t="s">
        <v>52</v>
      </c>
      <c r="I4" s="8" t="s">
        <v>101</v>
      </c>
      <c r="J4" s="8" t="s">
        <v>102</v>
      </c>
    </row>
    <row r="5" customFormat="false" ht="15" hidden="false" customHeight="false" outlineLevel="0" collapsed="false">
      <c r="A5" s="6" t="s">
        <v>103</v>
      </c>
      <c r="B5" s="7" t="n">
        <v>45506</v>
      </c>
      <c r="C5" s="7" t="n">
        <v>45537</v>
      </c>
      <c r="D5" s="7" t="n">
        <v>45537</v>
      </c>
      <c r="E5" s="6" t="s">
        <v>104</v>
      </c>
      <c r="F5" s="7" t="n">
        <v>45475</v>
      </c>
      <c r="G5" s="7" t="n">
        <v>45628</v>
      </c>
      <c r="H5" s="11" t="n">
        <f aca="false">IF(G5="","",G5-F5)</f>
        <v>153</v>
      </c>
      <c r="I5" s="4" t="str">
        <f aca="false">IF(G5="","Open",IF(H5&lt;=0,"Green",IF(H5&lt;=60,"Amber","Red")))</f>
        <v>Red</v>
      </c>
      <c r="J5" s="4" t="str">
        <f aca="false">IF(MAX(B5:D5)&gt;='Launch tracker'!$F$14,"Licence/artwork/EMVS","Stock or price")</f>
        <v>Stock or price</v>
      </c>
    </row>
    <row r="6" customFormat="false" ht="15" hidden="false" customHeight="false" outlineLevel="0" collapsed="false">
      <c r="A6" s="6" t="s">
        <v>105</v>
      </c>
      <c r="B6" s="7" t="n">
        <v>45521</v>
      </c>
      <c r="C6" s="7" t="n">
        <v>45552</v>
      </c>
      <c r="D6" s="7" t="n">
        <v>45537</v>
      </c>
      <c r="E6" s="6" t="s">
        <v>106</v>
      </c>
      <c r="F6" s="7" t="n">
        <v>45490</v>
      </c>
      <c r="G6" s="7" t="n">
        <v>45643</v>
      </c>
      <c r="H6" s="11" t="n">
        <f aca="false">IF(G6="","",G6-F6)</f>
        <v>153</v>
      </c>
      <c r="I6" s="4" t="str">
        <f aca="false">IF(G6="","Open",IF(H6&lt;=0,"Green",IF(H6&lt;=60,"Amber","Red")))</f>
        <v>Red</v>
      </c>
      <c r="J6" s="4" t="str">
        <f aca="false">IF(MAX(B6:D6)&gt;='Launch tracker'!$F$14,"Licence/artwork/EMVS","Stock or price")</f>
        <v>Stock or price</v>
      </c>
    </row>
    <row r="7" customFormat="false" ht="15" hidden="false" customHeight="false" outlineLevel="0" collapsed="false">
      <c r="A7" s="6" t="s">
        <v>107</v>
      </c>
      <c r="B7" s="7" t="n">
        <v>45537</v>
      </c>
      <c r="C7" s="7" t="n">
        <v>45567</v>
      </c>
      <c r="D7" s="7" t="n">
        <v>45537</v>
      </c>
      <c r="E7" s="6" t="s">
        <v>108</v>
      </c>
      <c r="F7" s="7" t="n">
        <v>45506</v>
      </c>
      <c r="G7" s="7" t="n">
        <v>45659</v>
      </c>
      <c r="H7" s="11" t="n">
        <f aca="false">IF(G7="","",G7-F7)</f>
        <v>153</v>
      </c>
      <c r="I7" s="4" t="str">
        <f aca="false">IF(G7="","Open",IF(H7&lt;=0,"Green",IF(H7&lt;=60,"Amber","Red")))</f>
        <v>Red</v>
      </c>
      <c r="J7" s="4" t="str">
        <f aca="false">IF(MAX(B7:D7)&gt;='Launch tracker'!$F$14,"Licence/artwork/EMVS","Stock or price")</f>
        <v>Stock or price</v>
      </c>
    </row>
    <row r="8" customFormat="false" ht="23.85" hidden="false" customHeight="false" outlineLevel="0" collapsed="false">
      <c r="A8" s="6" t="s">
        <v>109</v>
      </c>
      <c r="B8" s="7" t="n">
        <v>45537</v>
      </c>
      <c r="C8" s="7" t="n">
        <v>45598</v>
      </c>
      <c r="D8" s="7" t="n">
        <v>45537</v>
      </c>
      <c r="E8" s="6" t="s">
        <v>110</v>
      </c>
      <c r="F8" s="7" t="n">
        <v>45537</v>
      </c>
      <c r="G8" s="7" t="n">
        <v>45705</v>
      </c>
      <c r="H8" s="11" t="n">
        <f aca="false">IF(G8="","",G8-F8)</f>
        <v>168</v>
      </c>
      <c r="I8" s="4" t="str">
        <f aca="false">IF(G8="","Open",IF(H8&lt;=0,"Green",IF(H8&lt;=60,"Amber","Red")))</f>
        <v>Red</v>
      </c>
      <c r="J8" s="4" t="str">
        <f aca="false">IF(MAX(B8:D8)&gt;='Launch tracker'!$F$14,"Licence/artwork/EMVS","Stock or price")</f>
        <v>Stock or price</v>
      </c>
    </row>
    <row r="9" customFormat="false" ht="15" hidden="false" customHeight="false" outlineLevel="0" collapsed="false">
      <c r="A9" s="6" t="s">
        <v>111</v>
      </c>
      <c r="B9" s="7" t="n">
        <v>45537</v>
      </c>
      <c r="C9" s="7" t="n">
        <v>45567</v>
      </c>
      <c r="D9" s="7" t="n">
        <v>45537</v>
      </c>
      <c r="E9" s="6" t="s">
        <v>112</v>
      </c>
      <c r="F9" s="7" t="n">
        <v>45537</v>
      </c>
      <c r="G9" s="7" t="n">
        <v>45690</v>
      </c>
      <c r="H9" s="11" t="n">
        <f aca="false">IF(G9="","",G9-F9)</f>
        <v>153</v>
      </c>
      <c r="I9" s="4" t="str">
        <f aca="false">IF(G9="","Open",IF(H9&lt;=0,"Green",IF(H9&lt;=60,"Amber","Red")))</f>
        <v>Red</v>
      </c>
      <c r="J9" s="4" t="str">
        <f aca="false">IF(MAX(B9:D9)&gt;='Launch tracker'!$F$14,"Licence/artwork/EMVS","Stock or price")</f>
        <v>Stock or price</v>
      </c>
    </row>
    <row r="10" customFormat="false" ht="15" hidden="false" customHeight="false" outlineLevel="0" collapsed="false">
      <c r="A10" s="6" t="s">
        <v>113</v>
      </c>
      <c r="B10" s="7" t="n">
        <v>45521</v>
      </c>
      <c r="C10" s="7" t="n">
        <v>45567</v>
      </c>
      <c r="D10" s="7" t="n">
        <v>45537</v>
      </c>
      <c r="E10" s="6" t="s">
        <v>114</v>
      </c>
      <c r="F10" s="7" t="n">
        <v>45521</v>
      </c>
      <c r="G10" s="7" t="n">
        <v>45749</v>
      </c>
      <c r="H10" s="11" t="n">
        <f aca="false">IF(G10="","",G10-F10)</f>
        <v>228</v>
      </c>
      <c r="I10" s="4" t="str">
        <f aca="false">IF(G10="","Open",IF(H10&lt;=0,"Green",IF(H10&lt;=60,"Amber","Red")))</f>
        <v>Red</v>
      </c>
      <c r="J10" s="4" t="str">
        <f aca="false">IF(MAX(B10:D10)&gt;='Launch tracker'!$F$14,"Licence/artwork/EMVS","Stock or price")</f>
        <v>Stock or price</v>
      </c>
    </row>
    <row r="12" customFormat="false" ht="30" hidden="false" customHeight="true" outlineLevel="0" collapsed="false">
      <c r="A12" s="3" t="s">
        <v>115</v>
      </c>
      <c r="B12" s="4" t="s">
        <v>116</v>
      </c>
      <c r="C12" s="4"/>
      <c r="D12" s="4"/>
      <c r="E12" s="4"/>
      <c r="F12" s="4"/>
      <c r="G12" s="4"/>
      <c r="H12" s="4"/>
      <c r="I12" s="4"/>
      <c r="J12" s="4"/>
    </row>
  </sheetData>
  <mergeCells count="1">
    <mergeCell ref="B12:J12"/>
  </mergeCells>
  <conditionalFormatting sqref="I5:I10">
    <cfRule type="cellIs" priority="2" operator="equal" aboveAverage="0" equalAverage="0" bottom="0" percent="0" rank="0" text="" dxfId="0">
      <formula>"Red"</formula>
    </cfRule>
    <cfRule type="cellIs" priority="3" operator="equal" aboveAverage="0" equalAverage="0" bottom="0" percent="0" rank="0" text="" dxfId="1">
      <formula>"Amber"</formula>
    </cfRule>
    <cfRule type="cellIs" priority="4" operator="equal" aboveAverage="0" equalAverage="0" bottom="0" percent="0" rank="0" text="" dxfId="2">
      <formula>"Green"</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1" min="2" style="0" width="11"/>
    <col collapsed="false" customWidth="true" hidden="false" outlineLevel="0" max="12" min="12" style="0" width="18"/>
  </cols>
  <sheetData>
    <row r="1" customFormat="false" ht="17.35" hidden="false" customHeight="false" outlineLevel="0" collapsed="false">
      <c r="A1" s="1" t="s">
        <v>117</v>
      </c>
    </row>
    <row r="2" customFormat="false" ht="15" hidden="false" customHeight="false" outlineLevel="0" collapsed="false">
      <c r="A2" s="2" t="s">
        <v>118</v>
      </c>
    </row>
    <row r="4" customFormat="false" ht="31.5" hidden="false" customHeight="true" outlineLevel="0" collapsed="false">
      <c r="A4" s="8" t="s">
        <v>119</v>
      </c>
      <c r="B4" s="8" t="s">
        <v>120</v>
      </c>
      <c r="C4" s="8" t="s">
        <v>64</v>
      </c>
      <c r="D4" s="8" t="s">
        <v>121</v>
      </c>
      <c r="E4" s="8" t="s">
        <v>122</v>
      </c>
      <c r="F4" s="8" t="s">
        <v>123</v>
      </c>
      <c r="G4" s="8" t="s">
        <v>88</v>
      </c>
      <c r="H4" s="8" t="s">
        <v>91</v>
      </c>
      <c r="I4" s="8" t="s">
        <v>82</v>
      </c>
      <c r="J4" s="8" t="s">
        <v>124</v>
      </c>
      <c r="K4" s="8" t="s">
        <v>125</v>
      </c>
      <c r="L4" s="8" t="s">
        <v>126</v>
      </c>
    </row>
    <row r="5" customFormat="false" ht="15" hidden="false" customHeight="false" outlineLevel="0" collapsed="false">
      <c r="A5" s="6" t="s">
        <v>127</v>
      </c>
      <c r="B5" s="13" t="s">
        <v>128</v>
      </c>
      <c r="C5" s="13" t="s">
        <v>129</v>
      </c>
      <c r="D5" s="13" t="s">
        <v>129</v>
      </c>
      <c r="E5" s="13" t="s">
        <v>129</v>
      </c>
      <c r="F5" s="13" t="s">
        <v>130</v>
      </c>
      <c r="G5" s="13" t="s">
        <v>129</v>
      </c>
      <c r="H5" s="13" t="s">
        <v>131</v>
      </c>
      <c r="I5" s="13" t="s">
        <v>131</v>
      </c>
      <c r="J5" s="13" t="s">
        <v>130</v>
      </c>
      <c r="K5" s="13" t="s">
        <v>129</v>
      </c>
      <c r="L5" s="4" t="str">
        <f aca="false">IF(COUNTA(B5:K5)=0,"",IF(COUNTIF(B5:K5,"A")=1,"OK","Needs one A"))</f>
        <v>OK</v>
      </c>
    </row>
    <row r="6" customFormat="false" ht="15" hidden="false" customHeight="false" outlineLevel="0" collapsed="false">
      <c r="A6" s="6" t="s">
        <v>132</v>
      </c>
      <c r="B6" s="13" t="s">
        <v>130</v>
      </c>
      <c r="C6" s="13" t="s">
        <v>128</v>
      </c>
      <c r="D6" s="13" t="s">
        <v>131</v>
      </c>
      <c r="E6" s="13" t="s">
        <v>130</v>
      </c>
      <c r="F6" s="13" t="s">
        <v>130</v>
      </c>
      <c r="G6" s="13" t="s">
        <v>130</v>
      </c>
      <c r="H6" s="13" t="s">
        <v>129</v>
      </c>
      <c r="I6" s="13" t="s">
        <v>131</v>
      </c>
      <c r="J6" s="13" t="s">
        <v>130</v>
      </c>
      <c r="K6" s="13" t="s">
        <v>130</v>
      </c>
      <c r="L6" s="4" t="str">
        <f aca="false">IF(COUNTA(B6:K6)=0,"",IF(COUNTIF(B6:K6,"A")=1,"OK","Needs one A"))</f>
        <v>OK</v>
      </c>
    </row>
    <row r="7" customFormat="false" ht="15" hidden="false" customHeight="false" outlineLevel="0" collapsed="false">
      <c r="A7" s="6" t="s">
        <v>133</v>
      </c>
      <c r="B7" s="13" t="s">
        <v>130</v>
      </c>
      <c r="C7" s="13" t="s">
        <v>128</v>
      </c>
      <c r="D7" s="13" t="s">
        <v>129</v>
      </c>
      <c r="E7" s="13" t="s">
        <v>130</v>
      </c>
      <c r="F7" s="13" t="s">
        <v>130</v>
      </c>
      <c r="G7" s="13" t="s">
        <v>130</v>
      </c>
      <c r="H7" s="13" t="s">
        <v>129</v>
      </c>
      <c r="I7" s="13" t="s">
        <v>131</v>
      </c>
      <c r="J7" s="13" t="s">
        <v>130</v>
      </c>
      <c r="K7" s="13" t="s">
        <v>130</v>
      </c>
      <c r="L7" s="4" t="str">
        <f aca="false">IF(COUNTA(B7:K7)=0,"",IF(COUNTIF(B7:K7,"A")=1,"OK","Needs one A"))</f>
        <v>OK</v>
      </c>
    </row>
    <row r="8" customFormat="false" ht="15" hidden="false" customHeight="false" outlineLevel="0" collapsed="false">
      <c r="A8" s="6" t="s">
        <v>134</v>
      </c>
      <c r="B8" s="13" t="s">
        <v>130</v>
      </c>
      <c r="C8" s="13" t="s">
        <v>128</v>
      </c>
      <c r="D8" s="13" t="s">
        <v>129</v>
      </c>
      <c r="E8" s="13" t="s">
        <v>130</v>
      </c>
      <c r="F8" s="13" t="s">
        <v>130</v>
      </c>
      <c r="G8" s="13" t="s">
        <v>130</v>
      </c>
      <c r="H8" s="13" t="s">
        <v>129</v>
      </c>
      <c r="I8" s="13" t="s">
        <v>131</v>
      </c>
      <c r="J8" s="13" t="s">
        <v>130</v>
      </c>
      <c r="K8" s="13" t="s">
        <v>130</v>
      </c>
      <c r="L8" s="4" t="str">
        <f aca="false">IF(COUNTA(B8:K8)=0,"",IF(COUNTIF(B8:K8,"A")=1,"OK","Needs one A"))</f>
        <v>OK</v>
      </c>
    </row>
    <row r="9" customFormat="false" ht="15" hidden="false" customHeight="false" outlineLevel="0" collapsed="false">
      <c r="A9" s="6" t="s">
        <v>135</v>
      </c>
      <c r="B9" s="13" t="s">
        <v>130</v>
      </c>
      <c r="C9" s="13" t="s">
        <v>128</v>
      </c>
      <c r="D9" s="13" t="s">
        <v>130</v>
      </c>
      <c r="E9" s="13" t="s">
        <v>130</v>
      </c>
      <c r="F9" s="13" t="s">
        <v>129</v>
      </c>
      <c r="G9" s="13" t="s">
        <v>130</v>
      </c>
      <c r="H9" s="13" t="s">
        <v>129</v>
      </c>
      <c r="I9" s="13" t="s">
        <v>130</v>
      </c>
      <c r="J9" s="13" t="s">
        <v>130</v>
      </c>
      <c r="K9" s="13" t="s">
        <v>130</v>
      </c>
      <c r="L9" s="4" t="str">
        <f aca="false">IF(COUNTA(B9:K9)=0,"",IF(COUNTIF(B9:K9,"A")=1,"OK","Needs one A"))</f>
        <v>OK</v>
      </c>
    </row>
    <row r="10" customFormat="false" ht="15" hidden="false" customHeight="false" outlineLevel="0" collapsed="false">
      <c r="A10" s="6" t="s">
        <v>136</v>
      </c>
      <c r="B10" s="13" t="s">
        <v>130</v>
      </c>
      <c r="C10" s="13" t="s">
        <v>129</v>
      </c>
      <c r="D10" s="13" t="s">
        <v>129</v>
      </c>
      <c r="E10" s="13" t="s">
        <v>129</v>
      </c>
      <c r="F10" s="13" t="s">
        <v>128</v>
      </c>
      <c r="G10" s="13" t="s">
        <v>129</v>
      </c>
      <c r="H10" s="13" t="s">
        <v>131</v>
      </c>
      <c r="I10" s="13" t="s">
        <v>129</v>
      </c>
      <c r="J10" s="13" t="s">
        <v>130</v>
      </c>
      <c r="K10" s="13" t="s">
        <v>130</v>
      </c>
      <c r="L10" s="4" t="str">
        <f aca="false">IF(COUNTA(B10:K10)=0,"",IF(COUNTIF(B10:K10,"A")=1,"OK","Needs one A"))</f>
        <v>OK</v>
      </c>
    </row>
    <row r="11" customFormat="false" ht="15" hidden="false" customHeight="false" outlineLevel="0" collapsed="false">
      <c r="A11" s="6" t="s">
        <v>137</v>
      </c>
      <c r="B11" s="13" t="s">
        <v>130</v>
      </c>
      <c r="C11" s="13" t="s">
        <v>130</v>
      </c>
      <c r="D11" s="13" t="s">
        <v>129</v>
      </c>
      <c r="E11" s="13" t="s">
        <v>128</v>
      </c>
      <c r="F11" s="13" t="s">
        <v>129</v>
      </c>
      <c r="G11" s="13" t="s">
        <v>130</v>
      </c>
      <c r="H11" s="13" t="s">
        <v>129</v>
      </c>
      <c r="I11" s="13" t="s">
        <v>131</v>
      </c>
      <c r="J11" s="13" t="s">
        <v>130</v>
      </c>
      <c r="K11" s="13" t="s">
        <v>130</v>
      </c>
      <c r="L11" s="4" t="str">
        <f aca="false">IF(COUNTA(B11:K11)=0,"",IF(COUNTIF(B11:K11,"A")=1,"OK","Needs one A"))</f>
        <v>OK</v>
      </c>
    </row>
    <row r="12" customFormat="false" ht="15" hidden="false" customHeight="false" outlineLevel="0" collapsed="false">
      <c r="A12" s="6" t="s">
        <v>138</v>
      </c>
      <c r="B12" s="13" t="s">
        <v>130</v>
      </c>
      <c r="C12" s="13" t="s">
        <v>129</v>
      </c>
      <c r="D12" s="13" t="s">
        <v>129</v>
      </c>
      <c r="E12" s="13" t="s">
        <v>128</v>
      </c>
      <c r="F12" s="13" t="s">
        <v>129</v>
      </c>
      <c r="G12" s="13" t="s">
        <v>130</v>
      </c>
      <c r="H12" s="13" t="s">
        <v>131</v>
      </c>
      <c r="I12" s="13" t="s">
        <v>130</v>
      </c>
      <c r="J12" s="13" t="s">
        <v>130</v>
      </c>
      <c r="K12" s="13" t="s">
        <v>130</v>
      </c>
      <c r="L12" s="4" t="str">
        <f aca="false">IF(COUNTA(B12:K12)=0,"",IF(COUNTIF(B12:K12,"A")=1,"OK","Needs one A"))</f>
        <v>OK</v>
      </c>
    </row>
    <row r="13" customFormat="false" ht="15" hidden="false" customHeight="false" outlineLevel="0" collapsed="false">
      <c r="A13" s="6" t="s">
        <v>78</v>
      </c>
      <c r="B13" s="13" t="s">
        <v>130</v>
      </c>
      <c r="C13" s="13" t="s">
        <v>130</v>
      </c>
      <c r="D13" s="13" t="s">
        <v>129</v>
      </c>
      <c r="E13" s="13" t="s">
        <v>128</v>
      </c>
      <c r="F13" s="13" t="s">
        <v>130</v>
      </c>
      <c r="G13" s="13" t="s">
        <v>130</v>
      </c>
      <c r="H13" s="13" t="s">
        <v>129</v>
      </c>
      <c r="I13" s="13" t="s">
        <v>131</v>
      </c>
      <c r="J13" s="13" t="s">
        <v>130</v>
      </c>
      <c r="K13" s="13" t="s">
        <v>130</v>
      </c>
      <c r="L13" s="4" t="str">
        <f aca="false">IF(COUNTA(B13:K13)=0,"",IF(COUNTIF(B13:K13,"A")=1,"OK","Needs one A"))</f>
        <v>OK</v>
      </c>
    </row>
    <row r="14" customFormat="false" ht="15" hidden="false" customHeight="false" outlineLevel="0" collapsed="false">
      <c r="A14" s="6" t="s">
        <v>139</v>
      </c>
      <c r="B14" s="13" t="s">
        <v>130</v>
      </c>
      <c r="C14" s="13" t="s">
        <v>130</v>
      </c>
      <c r="D14" s="13" t="s">
        <v>128</v>
      </c>
      <c r="E14" s="13" t="s">
        <v>129</v>
      </c>
      <c r="F14" s="13" t="s">
        <v>130</v>
      </c>
      <c r="G14" s="13" t="s">
        <v>130</v>
      </c>
      <c r="H14" s="13" t="s">
        <v>129</v>
      </c>
      <c r="I14" s="13" t="s">
        <v>129</v>
      </c>
      <c r="J14" s="13" t="s">
        <v>131</v>
      </c>
      <c r="K14" s="13" t="s">
        <v>130</v>
      </c>
      <c r="L14" s="4" t="str">
        <f aca="false">IF(COUNTA(B14:K14)=0,"",IF(COUNTIF(B14:K14,"A")=1,"OK","Needs one A"))</f>
        <v>OK</v>
      </c>
    </row>
    <row r="15" customFormat="false" ht="15" hidden="false" customHeight="false" outlineLevel="0" collapsed="false">
      <c r="A15" s="6" t="s">
        <v>140</v>
      </c>
      <c r="B15" s="13" t="s">
        <v>129</v>
      </c>
      <c r="C15" s="13" t="s">
        <v>129</v>
      </c>
      <c r="D15" s="13" t="s">
        <v>130</v>
      </c>
      <c r="E15" s="13" t="s">
        <v>130</v>
      </c>
      <c r="F15" s="13" t="s">
        <v>130</v>
      </c>
      <c r="G15" s="13" t="s">
        <v>128</v>
      </c>
      <c r="H15" s="13" t="s">
        <v>129</v>
      </c>
      <c r="I15" s="13" t="s">
        <v>130</v>
      </c>
      <c r="J15" s="13" t="s">
        <v>130</v>
      </c>
      <c r="K15" s="13" t="s">
        <v>129</v>
      </c>
      <c r="L15" s="4" t="str">
        <f aca="false">IF(COUNTA(B15:K15)=0,"",IF(COUNTIF(B15:K15,"A")=1,"OK","Needs one A"))</f>
        <v>OK</v>
      </c>
    </row>
    <row r="16" customFormat="false" ht="15" hidden="false" customHeight="false" outlineLevel="0" collapsed="false">
      <c r="A16" s="6" t="s">
        <v>141</v>
      </c>
      <c r="B16" s="13" t="s">
        <v>129</v>
      </c>
      <c r="C16" s="13" t="s">
        <v>129</v>
      </c>
      <c r="D16" s="13" t="s">
        <v>129</v>
      </c>
      <c r="E16" s="13" t="s">
        <v>129</v>
      </c>
      <c r="F16" s="13" t="s">
        <v>129</v>
      </c>
      <c r="G16" s="13" t="s">
        <v>129</v>
      </c>
      <c r="H16" s="13" t="s">
        <v>131</v>
      </c>
      <c r="I16" s="13" t="s">
        <v>130</v>
      </c>
      <c r="J16" s="13" t="s">
        <v>130</v>
      </c>
      <c r="K16" s="13" t="s">
        <v>128</v>
      </c>
      <c r="L16" s="4" t="str">
        <f aca="false">IF(COUNTA(B16:K16)=0,"",IF(COUNTIF(B16:K16,"A")=1,"OK","Needs one A"))</f>
        <v>OK</v>
      </c>
    </row>
  </sheetData>
  <conditionalFormatting sqref="L5:L16">
    <cfRule type="cellIs" priority="2" operator="equal" aboveAverage="0" equalAverage="0" bottom="0" percent="0" rank="0" text="" dxfId="0">
      <formula>"Needs one A"</formula>
    </cfRule>
  </conditionalFormatting>
  <dataValidations count="1">
    <dataValidation allowBlank="true" errorStyle="stop" operator="between" showDropDown="false" showErrorMessage="false" showInputMessage="false" sqref="B5:K16" type="list">
      <formula1>"R,A,C,I"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16"/>
    <col collapsed="false" customWidth="true" hidden="false" outlineLevel="0" max="4" min="4" style="0" width="38"/>
    <col collapsed="false" customWidth="true" hidden="false" outlineLevel="0" max="6" min="5" style="0" width="11"/>
    <col collapsed="false" customWidth="true" hidden="false" outlineLevel="0" max="7" min="7" style="0" width="8"/>
    <col collapsed="false" customWidth="true" hidden="false" outlineLevel="0" max="8" min="8" style="0" width="9"/>
    <col collapsed="false" customWidth="true" hidden="false" outlineLevel="0" max="9" min="9" style="0" width="14"/>
    <col collapsed="false" customWidth="true" hidden="false" outlineLevel="0" max="10" min="10" style="0" width="42"/>
    <col collapsed="false" customWidth="true" hidden="false" outlineLevel="0" max="11" min="11" style="0" width="13"/>
    <col collapsed="false" customWidth="true" hidden="false" outlineLevel="0" max="12" min="12" style="0" width="12"/>
    <col collapsed="false" customWidth="true" hidden="false" outlineLevel="0" max="13" min="13" style="0" width="46"/>
  </cols>
  <sheetData>
    <row r="1" customFormat="false" ht="17.35" hidden="false" customHeight="false" outlineLevel="0" collapsed="false">
      <c r="A1" s="1" t="s">
        <v>142</v>
      </c>
    </row>
    <row r="2" customFormat="false" ht="15" hidden="false" customHeight="false" outlineLevel="0" collapsed="false">
      <c r="A2" s="2" t="s">
        <v>143</v>
      </c>
    </row>
    <row r="4" customFormat="false" ht="31.5" hidden="false" customHeight="true" outlineLevel="0" collapsed="false">
      <c r="A4" s="8" t="s">
        <v>144</v>
      </c>
      <c r="B4" s="8" t="s">
        <v>145</v>
      </c>
      <c r="C4" s="8" t="s">
        <v>146</v>
      </c>
      <c r="D4" s="8" t="s">
        <v>147</v>
      </c>
      <c r="E4" s="8" t="s">
        <v>148</v>
      </c>
      <c r="F4" s="8" t="s">
        <v>149</v>
      </c>
      <c r="G4" s="8" t="s">
        <v>150</v>
      </c>
      <c r="H4" s="8" t="s">
        <v>101</v>
      </c>
      <c r="I4" s="8" t="s">
        <v>47</v>
      </c>
      <c r="J4" s="8" t="s">
        <v>151</v>
      </c>
      <c r="K4" s="8" t="s">
        <v>152</v>
      </c>
      <c r="L4" s="8" t="s">
        <v>14</v>
      </c>
      <c r="M4" s="8" t="s">
        <v>153</v>
      </c>
    </row>
    <row r="5" customFormat="false" ht="23.85" hidden="false" customHeight="false" outlineLevel="0" collapsed="false">
      <c r="A5" s="6" t="s">
        <v>154</v>
      </c>
      <c r="B5" s="6" t="s">
        <v>155</v>
      </c>
      <c r="C5" s="6" t="s">
        <v>156</v>
      </c>
      <c r="D5" s="6" t="s">
        <v>157</v>
      </c>
      <c r="E5" s="13" t="n">
        <v>4</v>
      </c>
      <c r="F5" s="13" t="n">
        <v>4</v>
      </c>
      <c r="G5" s="4" t="n">
        <f aca="false">IF(OR(E5="",F5=""),"",E5*F5)</f>
        <v>16</v>
      </c>
      <c r="H5" s="4" t="str">
        <f aca="false">IF(G5="","",IF(G5&gt;=15,"Red",IF(G5&gt;=8,"Amber","Green")))</f>
        <v>Red</v>
      </c>
      <c r="I5" s="6" t="s">
        <v>64</v>
      </c>
      <c r="J5" s="6" t="s">
        <v>158</v>
      </c>
      <c r="K5" s="7" t="n">
        <v>45079</v>
      </c>
      <c r="L5" s="6" t="s">
        <v>159</v>
      </c>
      <c r="M5" s="6" t="s">
        <v>160</v>
      </c>
    </row>
    <row r="6" customFormat="false" ht="23.85" hidden="false" customHeight="false" outlineLevel="0" collapsed="false">
      <c r="A6" s="6" t="s">
        <v>161</v>
      </c>
      <c r="B6" s="6" t="s">
        <v>162</v>
      </c>
      <c r="C6" s="6" t="s">
        <v>163</v>
      </c>
      <c r="D6" s="6" t="s">
        <v>164</v>
      </c>
      <c r="E6" s="13" t="n">
        <v>3</v>
      </c>
      <c r="F6" s="13" t="n">
        <v>5</v>
      </c>
      <c r="G6" s="4" t="n">
        <f aca="false">IF(OR(E6="",F6=""),"",E6*F6)</f>
        <v>15</v>
      </c>
      <c r="H6" s="4" t="str">
        <f aca="false">IF(G6="","",IF(G6&gt;=15,"Red",IF(G6&gt;=8,"Amber","Green")))</f>
        <v>Red</v>
      </c>
      <c r="I6" s="6" t="s">
        <v>165</v>
      </c>
      <c r="J6" s="6" t="s">
        <v>166</v>
      </c>
      <c r="K6" s="7" t="n">
        <v>44959</v>
      </c>
      <c r="L6" s="6" t="s">
        <v>167</v>
      </c>
      <c r="M6" s="6" t="s">
        <v>168</v>
      </c>
    </row>
    <row r="7" customFormat="false" ht="15" hidden="false" customHeight="false" outlineLevel="0" collapsed="false">
      <c r="A7" s="6" t="s">
        <v>169</v>
      </c>
      <c r="B7" s="6" t="s">
        <v>170</v>
      </c>
      <c r="C7" s="6" t="s">
        <v>171</v>
      </c>
      <c r="D7" s="6" t="s">
        <v>172</v>
      </c>
      <c r="E7" s="13" t="n">
        <v>3</v>
      </c>
      <c r="F7" s="13" t="n">
        <v>4</v>
      </c>
      <c r="G7" s="4" t="n">
        <f aca="false">IF(OR(E7="",F7=""),"",E7*F7)</f>
        <v>12</v>
      </c>
      <c r="H7" s="4" t="str">
        <f aca="false">IF(G7="","",IF(G7&gt;=15,"Red",IF(G7&gt;=8,"Amber","Green")))</f>
        <v>Amber</v>
      </c>
      <c r="I7" s="6" t="s">
        <v>123</v>
      </c>
      <c r="J7" s="6" t="s">
        <v>173</v>
      </c>
      <c r="K7" s="7" t="n">
        <v>45201</v>
      </c>
      <c r="L7" s="6" t="s">
        <v>159</v>
      </c>
      <c r="M7" s="6" t="s">
        <v>174</v>
      </c>
    </row>
    <row r="8" customFormat="false" ht="23.85" hidden="false" customHeight="false" outlineLevel="0" collapsed="false">
      <c r="A8" s="6" t="s">
        <v>175</v>
      </c>
      <c r="B8" s="6" t="s">
        <v>176</v>
      </c>
      <c r="C8" s="6" t="s">
        <v>177</v>
      </c>
      <c r="D8" s="6" t="s">
        <v>178</v>
      </c>
      <c r="E8" s="13" t="n">
        <v>2</v>
      </c>
      <c r="F8" s="13" t="n">
        <v>4</v>
      </c>
      <c r="G8" s="4" t="n">
        <f aca="false">IF(OR(E8="",F8=""),"",E8*F8)</f>
        <v>8</v>
      </c>
      <c r="H8" s="4" t="str">
        <f aca="false">IF(G8="","",IF(G8&gt;=15,"Red",IF(G8&gt;=8,"Amber","Green")))</f>
        <v>Amber</v>
      </c>
      <c r="I8" s="6" t="s">
        <v>79</v>
      </c>
      <c r="J8" s="6" t="s">
        <v>179</v>
      </c>
      <c r="K8" s="7" t="n">
        <v>45353</v>
      </c>
      <c r="L8" s="6" t="s">
        <v>159</v>
      </c>
      <c r="M8" s="6" t="s">
        <v>180</v>
      </c>
    </row>
    <row r="9" customFormat="false" ht="15" hidden="false" customHeight="false" outlineLevel="0" collapsed="false">
      <c r="A9" s="6" t="s">
        <v>181</v>
      </c>
      <c r="B9" s="6" t="s">
        <v>182</v>
      </c>
      <c r="C9" s="6" t="s">
        <v>183</v>
      </c>
      <c r="D9" s="6" t="s">
        <v>184</v>
      </c>
      <c r="E9" s="13" t="n">
        <v>3</v>
      </c>
      <c r="F9" s="13" t="n">
        <v>3</v>
      </c>
      <c r="G9" s="4" t="n">
        <f aca="false">IF(OR(E9="",F9=""),"",E9*F9)</f>
        <v>9</v>
      </c>
      <c r="H9" s="4" t="str">
        <f aca="false">IF(G9="","",IF(G9&gt;=15,"Red",IF(G9&gt;=8,"Amber","Green")))</f>
        <v>Amber</v>
      </c>
      <c r="I9" s="6" t="s">
        <v>183</v>
      </c>
      <c r="J9" s="6" t="s">
        <v>185</v>
      </c>
      <c r="K9" s="7" t="n">
        <v>45384</v>
      </c>
      <c r="L9" s="6" t="s">
        <v>159</v>
      </c>
      <c r="M9" s="6" t="s">
        <v>186</v>
      </c>
    </row>
    <row r="10" customFormat="false" ht="15" hidden="false" customHeight="false" outlineLevel="0" collapsed="false">
      <c r="A10" s="6" t="s">
        <v>187</v>
      </c>
      <c r="B10" s="6" t="s">
        <v>188</v>
      </c>
      <c r="C10" s="6" t="s">
        <v>171</v>
      </c>
      <c r="D10" s="6" t="s">
        <v>189</v>
      </c>
      <c r="E10" s="13" t="n">
        <v>2</v>
      </c>
      <c r="F10" s="13" t="n">
        <v>3</v>
      </c>
      <c r="G10" s="4" t="n">
        <f aca="false">IF(OR(E10="",F10=""),"",E10*F10)</f>
        <v>6</v>
      </c>
      <c r="H10" s="4" t="str">
        <f aca="false">IF(G10="","",IF(G10&gt;=15,"Red",IF(G10&gt;=8,"Amber","Green")))</f>
        <v>Green</v>
      </c>
      <c r="I10" s="6" t="s">
        <v>183</v>
      </c>
      <c r="J10" s="6" t="s">
        <v>190</v>
      </c>
      <c r="K10" s="7" t="n">
        <v>45414</v>
      </c>
      <c r="L10" s="6" t="s">
        <v>159</v>
      </c>
      <c r="M10" s="6" t="s">
        <v>191</v>
      </c>
    </row>
    <row r="11" customFormat="false" ht="23.85" hidden="false" customHeight="false" outlineLevel="0" collapsed="false">
      <c r="A11" s="6" t="s">
        <v>192</v>
      </c>
      <c r="B11" s="6" t="s">
        <v>193</v>
      </c>
      <c r="C11" s="6" t="s">
        <v>194</v>
      </c>
      <c r="D11" s="6" t="s">
        <v>195</v>
      </c>
      <c r="E11" s="13" t="n">
        <v>1</v>
      </c>
      <c r="F11" s="13" t="n">
        <v>5</v>
      </c>
      <c r="G11" s="4" t="n">
        <f aca="false">IF(OR(E11="",F11=""),"",E11*F11)</f>
        <v>5</v>
      </c>
      <c r="H11" s="4" t="str">
        <f aca="false">IF(G11="","",IF(G11&gt;=15,"Red",IF(G11&gt;=8,"Amber","Green")))</f>
        <v>Green</v>
      </c>
      <c r="I11" s="6" t="s">
        <v>196</v>
      </c>
      <c r="J11" s="6" t="s">
        <v>197</v>
      </c>
      <c r="K11" s="7" t="n">
        <v>45109</v>
      </c>
      <c r="L11" s="6" t="s">
        <v>198</v>
      </c>
      <c r="M11" s="6" t="s">
        <v>199</v>
      </c>
    </row>
    <row r="12" customFormat="false" ht="15" hidden="false" customHeight="false" outlineLevel="0" collapsed="false">
      <c r="A12" s="6" t="s">
        <v>200</v>
      </c>
      <c r="B12" s="6" t="s">
        <v>201</v>
      </c>
      <c r="C12" s="6" t="s">
        <v>88</v>
      </c>
      <c r="D12" s="6" t="s">
        <v>202</v>
      </c>
      <c r="E12" s="13" t="n">
        <v>3</v>
      </c>
      <c r="F12" s="13" t="n">
        <v>3</v>
      </c>
      <c r="G12" s="4" t="n">
        <f aca="false">IF(OR(E12="",F12=""),"",E12*F12)</f>
        <v>9</v>
      </c>
      <c r="H12" s="4" t="str">
        <f aca="false">IF(G12="","",IF(G12&gt;=15,"Red",IF(G12&gt;=8,"Amber","Green")))</f>
        <v>Amber</v>
      </c>
      <c r="I12" s="6" t="s">
        <v>88</v>
      </c>
      <c r="J12" s="6" t="s">
        <v>203</v>
      </c>
      <c r="K12" s="7" t="n">
        <v>45445</v>
      </c>
      <c r="L12" s="6" t="s">
        <v>159</v>
      </c>
      <c r="M12" s="6" t="s">
        <v>204</v>
      </c>
    </row>
    <row r="14" customFormat="false" ht="23.85" hidden="false" customHeight="false" outlineLevel="0" collapsed="false">
      <c r="A14" s="3" t="s">
        <v>205</v>
      </c>
      <c r="B14" s="4" t="str">
        <f aca="false">IFERROR(INDEX(B5:B12,MATCH(LARGE(G5:G12,1),G5:G12,0)),"")</f>
        <v>DCP clock-stop longer than 3 months</v>
      </c>
      <c r="D14" s="4" t="s">
        <v>206</v>
      </c>
    </row>
    <row r="15" customFormat="false" ht="23.85" hidden="false" customHeight="false" outlineLevel="0" collapsed="false">
      <c r="B15" s="4" t="str">
        <f aca="false">IFERROR(INDEX(B5:B12,MATCH(LARGE(G5:G12,2),G5:G12,0)),"")</f>
        <v>API written confirmation expires before submission</v>
      </c>
    </row>
    <row r="16" customFormat="false" ht="15" hidden="false" customHeight="false" outlineLevel="0" collapsed="false">
      <c r="B16" s="4" t="str">
        <f aca="false">IFERROR(INDEX(B5:B12,MATCH(LARGE(G5:G12,3),G5:G12,0)),"")</f>
        <v>Artwork drafts start late</v>
      </c>
    </row>
  </sheetData>
  <conditionalFormatting sqref="H5:H12">
    <cfRule type="cellIs" priority="2" operator="equal" aboveAverage="0" equalAverage="0" bottom="0" percent="0" rank="0" text="" dxfId="0">
      <formula>"Red"</formula>
    </cfRule>
    <cfRule type="cellIs" priority="3" operator="equal" aboveAverage="0" equalAverage="0" bottom="0" percent="0" rank="0" text="" dxfId="1">
      <formula>"Amber"</formula>
    </cfRule>
    <cfRule type="cellIs" priority="4" operator="equal" aboveAverage="0" equalAverage="0" bottom="0" percent="0" rank="0" text="" dxfId="2">
      <formula>"Green"</formula>
    </cfRule>
  </conditionalFormatting>
  <dataValidations count="1">
    <dataValidation allowBlank="true" errorStyle="stop" operator="between" showDropDown="false" showErrorMessage="false" showInputMessage="false" sqref="E5:F12"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46"/>
    <col collapsed="false" customWidth="true" hidden="false" outlineLevel="0" max="4" min="4" style="0" width="40"/>
    <col collapsed="false" customWidth="true" hidden="false" outlineLevel="0" max="5" min="5" style="0" width="22"/>
    <col collapsed="false" customWidth="true" hidden="false" outlineLevel="0" max="6" min="6" style="0" width="46"/>
    <col collapsed="false" customWidth="true" hidden="false" outlineLevel="0" max="7" min="7" style="0" width="13"/>
  </cols>
  <sheetData>
    <row r="1" customFormat="false" ht="17.35" hidden="false" customHeight="false" outlineLevel="0" collapsed="false">
      <c r="A1" s="1" t="s">
        <v>207</v>
      </c>
    </row>
    <row r="2" customFormat="false" ht="15" hidden="false" customHeight="false" outlineLevel="0" collapsed="false">
      <c r="A2" s="2" t="s">
        <v>208</v>
      </c>
    </row>
    <row r="4" customFormat="false" ht="31.5" hidden="false" customHeight="true" outlineLevel="0" collapsed="false">
      <c r="A4" s="8" t="s">
        <v>209</v>
      </c>
      <c r="B4" s="8" t="s">
        <v>210</v>
      </c>
      <c r="C4" s="8" t="s">
        <v>211</v>
      </c>
      <c r="D4" s="8" t="s">
        <v>212</v>
      </c>
      <c r="E4" s="8" t="s">
        <v>213</v>
      </c>
      <c r="F4" s="8" t="s">
        <v>214</v>
      </c>
      <c r="G4" s="8" t="s">
        <v>215</v>
      </c>
    </row>
    <row r="5" customFormat="false" ht="15" hidden="false" customHeight="false" outlineLevel="0" collapsed="false">
      <c r="A5" s="4" t="n">
        <v>1</v>
      </c>
      <c r="B5" s="7" t="n">
        <v>44943</v>
      </c>
      <c r="C5" s="6" t="s">
        <v>216</v>
      </c>
      <c r="D5" s="6" t="s">
        <v>217</v>
      </c>
      <c r="E5" s="6" t="s">
        <v>218</v>
      </c>
      <c r="F5" s="6" t="s">
        <v>219</v>
      </c>
      <c r="G5" s="7"/>
    </row>
    <row r="6" customFormat="false" ht="23.85" hidden="false" customHeight="false" outlineLevel="0" collapsed="false">
      <c r="A6" s="4" t="n">
        <v>2</v>
      </c>
      <c r="B6" s="7" t="n">
        <v>45018</v>
      </c>
      <c r="C6" s="6" t="s">
        <v>220</v>
      </c>
      <c r="D6" s="6" t="s">
        <v>221</v>
      </c>
      <c r="E6" s="6" t="s">
        <v>222</v>
      </c>
      <c r="F6" s="6" t="s">
        <v>223</v>
      </c>
      <c r="G6" s="7"/>
    </row>
    <row r="7" customFormat="false" ht="23.85" hidden="false" customHeight="false" outlineLevel="0" collapsed="false">
      <c r="A7" s="4" t="n">
        <v>3</v>
      </c>
      <c r="B7" s="7" t="n">
        <v>45216</v>
      </c>
      <c r="C7" s="6" t="s">
        <v>224</v>
      </c>
      <c r="D7" s="6" t="s">
        <v>225</v>
      </c>
      <c r="E7" s="6" t="s">
        <v>226</v>
      </c>
      <c r="F7" s="6" t="s">
        <v>227</v>
      </c>
      <c r="G7" s="7"/>
    </row>
    <row r="8" customFormat="false" ht="23.85" hidden="false" customHeight="false" outlineLevel="0" collapsed="false">
      <c r="A8" s="4" t="n">
        <v>4</v>
      </c>
      <c r="B8" s="7" t="n">
        <v>45353</v>
      </c>
      <c r="C8" s="6" t="s">
        <v>228</v>
      </c>
      <c r="D8" s="6" t="s">
        <v>229</v>
      </c>
      <c r="E8" s="6" t="s">
        <v>230</v>
      </c>
      <c r="F8" s="6" t="s">
        <v>231</v>
      </c>
      <c r="G8" s="7"/>
    </row>
    <row r="9" customFormat="false" ht="23.85" hidden="false" customHeight="false" outlineLevel="0" collapsed="false">
      <c r="A9" s="4" t="n">
        <v>5</v>
      </c>
      <c r="B9" s="7" t="n">
        <v>45506</v>
      </c>
      <c r="C9" s="6" t="s">
        <v>232</v>
      </c>
      <c r="D9" s="6" t="s">
        <v>233</v>
      </c>
      <c r="E9" s="6" t="s">
        <v>234</v>
      </c>
      <c r="F9" s="6" t="s">
        <v>235</v>
      </c>
      <c r="G9" s="7"/>
    </row>
    <row r="10" customFormat="false" ht="15" hidden="false" customHeight="false" outlineLevel="0" collapsed="false">
      <c r="A10" s="4" t="n">
        <v>6</v>
      </c>
      <c r="B10" s="7" t="n">
        <v>45567</v>
      </c>
      <c r="C10" s="6" t="s">
        <v>236</v>
      </c>
      <c r="D10" s="6" t="s">
        <v>237</v>
      </c>
      <c r="E10" s="6" t="s">
        <v>238</v>
      </c>
      <c r="F10" s="6" t="s">
        <v>239</v>
      </c>
      <c r="G10" s="7"/>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3"/>
    <col collapsed="false" customWidth="true" hidden="false" outlineLevel="0" max="4" min="4" style="0" width="12"/>
    <col collapsed="false" customWidth="true" hidden="false" outlineLevel="0" max="5" min="5" style="0" width="44"/>
    <col collapsed="false" customWidth="true" hidden="false" outlineLevel="0" max="6" min="6" style="0" width="70"/>
  </cols>
  <sheetData>
    <row r="1" customFormat="false" ht="17.35" hidden="false" customHeight="false" outlineLevel="0" collapsed="false">
      <c r="A1" s="1" t="s">
        <v>240</v>
      </c>
    </row>
    <row r="2" customFormat="false" ht="15" hidden="false" customHeight="false" outlineLevel="0" collapsed="false">
      <c r="A2" s="2" t="s">
        <v>241</v>
      </c>
    </row>
    <row r="4" customFormat="false" ht="31.5" hidden="false" customHeight="true" outlineLevel="0" collapsed="false">
      <c r="A4" s="8" t="s">
        <v>242</v>
      </c>
      <c r="B4" s="8" t="s">
        <v>49</v>
      </c>
      <c r="C4" s="8" t="s">
        <v>51</v>
      </c>
      <c r="D4" s="8" t="s">
        <v>53</v>
      </c>
      <c r="E4" s="8" t="s">
        <v>243</v>
      </c>
      <c r="F4" s="8" t="s">
        <v>244</v>
      </c>
    </row>
    <row r="5" customFormat="false" ht="15" hidden="false" customHeight="false" outlineLevel="0" collapsed="false">
      <c r="A5" s="3" t="s">
        <v>245</v>
      </c>
      <c r="B5" s="14"/>
      <c r="C5" s="14"/>
      <c r="D5" s="14"/>
      <c r="E5" s="14"/>
      <c r="F5" s="4" t="s">
        <v>246</v>
      </c>
    </row>
    <row r="6" customFormat="false" ht="23.85" hidden="false" customHeight="false" outlineLevel="0" collapsed="false">
      <c r="A6" s="3" t="s">
        <v>247</v>
      </c>
      <c r="B6" s="14"/>
      <c r="C6" s="14"/>
      <c r="D6" s="14"/>
      <c r="E6" s="14"/>
      <c r="F6" s="4" t="s">
        <v>248</v>
      </c>
    </row>
    <row r="7" customFormat="false" ht="15" hidden="false" customHeight="false" outlineLevel="0" collapsed="false">
      <c r="A7" s="3" t="s">
        <v>249</v>
      </c>
    </row>
    <row r="8" customFormat="false" ht="23.85" hidden="false" customHeight="false" outlineLevel="0" collapsed="false">
      <c r="A8" s="4" t="s">
        <v>56</v>
      </c>
      <c r="B8" s="15" t="n">
        <f aca="false">'Launch tracker'!D5</f>
        <v>44974</v>
      </c>
      <c r="C8" s="15" t="n">
        <f aca="false">'Launch tracker'!F5</f>
        <v>45002</v>
      </c>
      <c r="D8" s="16" t="n">
        <f aca="false">'Launch tracker'!H5</f>
        <v>0.9</v>
      </c>
      <c r="E8" s="6" t="s">
        <v>250</v>
      </c>
      <c r="F8" s="6" t="s">
        <v>251</v>
      </c>
    </row>
    <row r="9" customFormat="false" ht="23.85" hidden="false" customHeight="false" outlineLevel="0" collapsed="false">
      <c r="A9" s="4" t="s">
        <v>60</v>
      </c>
      <c r="B9" s="15" t="n">
        <f aca="false">'Launch tracker'!D6</f>
        <v>45048</v>
      </c>
      <c r="C9" s="15" t="n">
        <f aca="false">'Launch tracker'!F6</f>
        <v>45109</v>
      </c>
      <c r="D9" s="16" t="n">
        <f aca="false">'Launch tracker'!H6</f>
        <v>2</v>
      </c>
      <c r="E9" s="6" t="s">
        <v>252</v>
      </c>
      <c r="F9" s="6" t="s">
        <v>253</v>
      </c>
    </row>
    <row r="10" customFormat="false" ht="23.85" hidden="false" customHeight="false" outlineLevel="0" collapsed="false">
      <c r="A10" s="4" t="s">
        <v>254</v>
      </c>
      <c r="B10" s="15" t="n">
        <f aca="false">'Launch tracker'!D8</f>
        <v>45353</v>
      </c>
      <c r="C10" s="15" t="n">
        <f aca="false">'Launch tracker'!F8</f>
        <v>45460</v>
      </c>
      <c r="D10" s="16" t="n">
        <f aca="false">'Launch tracker'!H8</f>
        <v>3.5</v>
      </c>
      <c r="E10" s="6" t="s">
        <v>255</v>
      </c>
      <c r="F10" s="6" t="s">
        <v>256</v>
      </c>
    </row>
    <row r="11" customFormat="false" ht="15" hidden="false" customHeight="false" outlineLevel="0" collapsed="false">
      <c r="A11" s="4" t="s">
        <v>257</v>
      </c>
      <c r="B11" s="15" t="n">
        <f aca="false">'Launch tracker'!D9</f>
        <v>45399</v>
      </c>
      <c r="C11" s="15" t="n">
        <f aca="false">'Launch tracker'!F9</f>
        <v>45506</v>
      </c>
      <c r="D11" s="16" t="n">
        <f aca="false">'Launch tracker'!H9</f>
        <v>3.5</v>
      </c>
      <c r="E11" s="6" t="s">
        <v>258</v>
      </c>
      <c r="F11" s="6" t="s">
        <v>259</v>
      </c>
    </row>
    <row r="12" customFormat="false" ht="23.85" hidden="false" customHeight="false" outlineLevel="0" collapsed="false">
      <c r="A12" s="4" t="s">
        <v>260</v>
      </c>
      <c r="B12" s="15" t="n">
        <f aca="false">'Launch tracker'!D10</f>
        <v>45429</v>
      </c>
      <c r="C12" s="15" t="n">
        <f aca="false">'Launch tracker'!F10</f>
        <v>45552</v>
      </c>
      <c r="D12" s="16" t="n">
        <f aca="false">'Launch tracker'!H10</f>
        <v>4</v>
      </c>
      <c r="E12" s="6" t="s">
        <v>261</v>
      </c>
      <c r="F12" s="6" t="s">
        <v>262</v>
      </c>
    </row>
    <row r="13" customFormat="false" ht="15" hidden="false" customHeight="false" outlineLevel="0" collapsed="false">
      <c r="A13" s="4" t="s">
        <v>263</v>
      </c>
      <c r="B13" s="15" t="n">
        <f aca="false">'Launch tracker'!D11</f>
        <v>45384</v>
      </c>
      <c r="C13" s="15" t="n">
        <f aca="false">'Launch tracker'!F11</f>
        <v>45537</v>
      </c>
      <c r="D13" s="16" t="n">
        <f aca="false">'Launch tracker'!H11</f>
        <v>5</v>
      </c>
      <c r="E13" s="6" t="s">
        <v>264</v>
      </c>
      <c r="F13" s="6" t="s">
        <v>265</v>
      </c>
    </row>
    <row r="14" customFormat="false" ht="15" hidden="false" customHeight="false" outlineLevel="0" collapsed="false">
      <c r="A14" s="4" t="s">
        <v>266</v>
      </c>
      <c r="B14" s="15" t="n">
        <f aca="false">'Launch tracker'!D12</f>
        <v>45414</v>
      </c>
      <c r="C14" s="15" t="n">
        <f aca="false">'Launch tracker'!F12</f>
        <v>45490</v>
      </c>
      <c r="D14" s="16" t="n">
        <f aca="false">'Launch tracker'!H12</f>
        <v>2.5</v>
      </c>
      <c r="E14" s="6" t="s">
        <v>267</v>
      </c>
      <c r="F14" s="6" t="s">
        <v>268</v>
      </c>
    </row>
    <row r="15" customFormat="false" ht="15" hidden="false" customHeight="false" outlineLevel="0" collapsed="false">
      <c r="A15" s="4" t="s">
        <v>84</v>
      </c>
      <c r="B15" s="15" t="n">
        <f aca="false">'Launch tracker'!D14</f>
        <v>45475</v>
      </c>
      <c r="C15" s="15" t="n">
        <f aca="false">'Launch tracker'!F14</f>
        <v>45613</v>
      </c>
      <c r="D15" s="16" t="n">
        <f aca="false">'Launch tracker'!H14</f>
        <v>4.5</v>
      </c>
      <c r="E15" s="6" t="s">
        <v>269</v>
      </c>
      <c r="F15" s="6" t="s">
        <v>270</v>
      </c>
    </row>
    <row r="16" customFormat="false" ht="15" hidden="false" customHeight="false" outlineLevel="0" collapsed="false">
      <c r="A16" s="4" t="s">
        <v>100</v>
      </c>
      <c r="B16" s="15" t="n">
        <f aca="false">'Launch tracker'!D15</f>
        <v>45460</v>
      </c>
      <c r="C16" s="15" t="n">
        <f aca="false">'Launch tracker'!F15</f>
        <v>45749</v>
      </c>
      <c r="D16" s="16" t="n">
        <f aca="false">'Launch tracker'!H15</f>
        <v>9.5</v>
      </c>
      <c r="E16" s="6" t="s">
        <v>271</v>
      </c>
      <c r="F16" s="6" t="s">
        <v>272</v>
      </c>
    </row>
    <row r="18" customFormat="false" ht="15" hidden="false" customHeight="false" outlineLevel="0" collapsed="false">
      <c r="A18" s="3" t="s">
        <v>273</v>
      </c>
    </row>
    <row r="19" customFormat="false" ht="30" hidden="false" customHeight="true" outlineLevel="0" collapsed="false">
      <c r="A19" s="4" t="s">
        <v>274</v>
      </c>
      <c r="B19" s="4"/>
      <c r="C19" s="4"/>
      <c r="D19" s="4"/>
      <c r="E19" s="4"/>
      <c r="F19" s="4"/>
    </row>
    <row r="20" customFormat="false" ht="30" hidden="false" customHeight="true" outlineLevel="0" collapsed="false">
      <c r="A20" s="4" t="s">
        <v>275</v>
      </c>
      <c r="B20" s="4"/>
      <c r="C20" s="4"/>
      <c r="D20" s="4"/>
      <c r="E20" s="4"/>
      <c r="F20" s="4"/>
    </row>
    <row r="21" customFormat="false" ht="30" hidden="false" customHeight="true" outlineLevel="0" collapsed="false">
      <c r="A21" s="4" t="s">
        <v>276</v>
      </c>
      <c r="B21" s="4"/>
      <c r="C21" s="4"/>
      <c r="D21" s="4"/>
      <c r="E21" s="4"/>
      <c r="F21" s="4"/>
    </row>
    <row r="22" customFormat="false" ht="30" hidden="false" customHeight="true" outlineLevel="0" collapsed="false">
      <c r="A22" s="4" t="s">
        <v>277</v>
      </c>
      <c r="B22" s="4"/>
      <c r="C22" s="4"/>
      <c r="D22" s="4"/>
      <c r="E22" s="4"/>
      <c r="F22" s="4"/>
    </row>
  </sheetData>
  <mergeCells count="6">
    <mergeCell ref="B5:E5"/>
    <mergeCell ref="B6:E6"/>
    <mergeCell ref="A19:F19"/>
    <mergeCell ref="A20:F20"/>
    <mergeCell ref="A21:F21"/>
    <mergeCell ref="A22:F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1" min="2" style="0" width="11"/>
    <col collapsed="false" customWidth="true" hidden="false" outlineLevel="0" max="12" min="12" style="0" width="18"/>
  </cols>
  <sheetData>
    <row r="1" customFormat="false" ht="17.35" hidden="false" customHeight="false" outlineLevel="0" collapsed="false">
      <c r="A1" s="1" t="s">
        <v>117</v>
      </c>
    </row>
    <row r="2" customFormat="false" ht="15" hidden="false" customHeight="false" outlineLevel="0" collapsed="false">
      <c r="A2" s="2" t="s">
        <v>278</v>
      </c>
    </row>
    <row r="4" customFormat="false" ht="31.5" hidden="false" customHeight="true" outlineLevel="0" collapsed="false">
      <c r="A4" s="8" t="s">
        <v>119</v>
      </c>
      <c r="B4" s="8" t="s">
        <v>120</v>
      </c>
      <c r="C4" s="8" t="s">
        <v>64</v>
      </c>
      <c r="D4" s="8" t="s">
        <v>121</v>
      </c>
      <c r="E4" s="8" t="s">
        <v>122</v>
      </c>
      <c r="F4" s="8" t="s">
        <v>123</v>
      </c>
      <c r="G4" s="8" t="s">
        <v>88</v>
      </c>
      <c r="H4" s="8" t="s">
        <v>91</v>
      </c>
      <c r="I4" s="8" t="s">
        <v>82</v>
      </c>
      <c r="J4" s="8" t="s">
        <v>124</v>
      </c>
      <c r="K4" s="8" t="s">
        <v>125</v>
      </c>
      <c r="L4" s="8" t="s">
        <v>126</v>
      </c>
    </row>
    <row r="5" customFormat="false" ht="15" hidden="false" customHeight="false" outlineLevel="0" collapsed="false">
      <c r="A5" s="6"/>
      <c r="B5" s="13"/>
      <c r="C5" s="13"/>
      <c r="D5" s="13"/>
      <c r="E5" s="13"/>
      <c r="F5" s="13"/>
      <c r="G5" s="13"/>
      <c r="H5" s="13"/>
      <c r="I5" s="13"/>
      <c r="J5" s="13"/>
      <c r="K5" s="13"/>
      <c r="L5" s="4" t="str">
        <f aca="false">IF(COUNTA(B5:K5)=0,"",IF(COUNTIF(B5:K5,"A")=1,"OK","Needs one A"))</f>
        <v/>
      </c>
    </row>
    <row r="6" customFormat="false" ht="15" hidden="false" customHeight="false" outlineLevel="0" collapsed="false">
      <c r="A6" s="6"/>
      <c r="B6" s="13"/>
      <c r="C6" s="13"/>
      <c r="D6" s="13"/>
      <c r="E6" s="13"/>
      <c r="F6" s="13"/>
      <c r="G6" s="13"/>
      <c r="H6" s="13"/>
      <c r="I6" s="13"/>
      <c r="J6" s="13"/>
      <c r="K6" s="13"/>
      <c r="L6" s="4" t="str">
        <f aca="false">IF(COUNTA(B6:K6)=0,"",IF(COUNTIF(B6:K6,"A")=1,"OK","Needs one A"))</f>
        <v/>
      </c>
    </row>
    <row r="7" customFormat="false" ht="15" hidden="false" customHeight="false" outlineLevel="0" collapsed="false">
      <c r="A7" s="6"/>
      <c r="B7" s="13"/>
      <c r="C7" s="13"/>
      <c r="D7" s="13"/>
      <c r="E7" s="13"/>
      <c r="F7" s="13"/>
      <c r="G7" s="13"/>
      <c r="H7" s="13"/>
      <c r="I7" s="13"/>
      <c r="J7" s="13"/>
      <c r="K7" s="13"/>
      <c r="L7" s="4" t="str">
        <f aca="false">IF(COUNTA(B7:K7)=0,"",IF(COUNTIF(B7:K7,"A")=1,"OK","Needs one A"))</f>
        <v/>
      </c>
    </row>
    <row r="8" customFormat="false" ht="15" hidden="false" customHeight="false" outlineLevel="0" collapsed="false">
      <c r="A8" s="6"/>
      <c r="B8" s="13"/>
      <c r="C8" s="13"/>
      <c r="D8" s="13"/>
      <c r="E8" s="13"/>
      <c r="F8" s="13"/>
      <c r="G8" s="13"/>
      <c r="H8" s="13"/>
      <c r="I8" s="13"/>
      <c r="J8" s="13"/>
      <c r="K8" s="13"/>
      <c r="L8" s="4" t="str">
        <f aca="false">IF(COUNTA(B8:K8)=0,"",IF(COUNTIF(B8:K8,"A")=1,"OK","Needs one A"))</f>
        <v/>
      </c>
    </row>
    <row r="9" customFormat="false" ht="15" hidden="false" customHeight="false" outlineLevel="0" collapsed="false">
      <c r="A9" s="6"/>
      <c r="B9" s="13"/>
      <c r="C9" s="13"/>
      <c r="D9" s="13"/>
      <c r="E9" s="13"/>
      <c r="F9" s="13"/>
      <c r="G9" s="13"/>
      <c r="H9" s="13"/>
      <c r="I9" s="13"/>
      <c r="J9" s="13"/>
      <c r="K9" s="13"/>
      <c r="L9" s="4" t="str">
        <f aca="false">IF(COUNTA(B9:K9)=0,"",IF(COUNTIF(B9:K9,"A")=1,"OK","Needs one A"))</f>
        <v/>
      </c>
    </row>
    <row r="10" customFormat="false" ht="15" hidden="false" customHeight="false" outlineLevel="0" collapsed="false">
      <c r="A10" s="6"/>
      <c r="B10" s="13"/>
      <c r="C10" s="13"/>
      <c r="D10" s="13"/>
      <c r="E10" s="13"/>
      <c r="F10" s="13"/>
      <c r="G10" s="13"/>
      <c r="H10" s="13"/>
      <c r="I10" s="13"/>
      <c r="J10" s="13"/>
      <c r="K10" s="13"/>
      <c r="L10" s="4" t="str">
        <f aca="false">IF(COUNTA(B10:K10)=0,"",IF(COUNTIF(B10:K10,"A")=1,"OK","Needs one A"))</f>
        <v/>
      </c>
    </row>
    <row r="11" customFormat="false" ht="15" hidden="false" customHeight="false" outlineLevel="0" collapsed="false">
      <c r="A11" s="6"/>
      <c r="B11" s="13"/>
      <c r="C11" s="13"/>
      <c r="D11" s="13"/>
      <c r="E11" s="13"/>
      <c r="F11" s="13"/>
      <c r="G11" s="13"/>
      <c r="H11" s="13"/>
      <c r="I11" s="13"/>
      <c r="J11" s="13"/>
      <c r="K11" s="13"/>
      <c r="L11" s="4" t="str">
        <f aca="false">IF(COUNTA(B11:K11)=0,"",IF(COUNTIF(B11:K11,"A")=1,"OK","Needs one A"))</f>
        <v/>
      </c>
    </row>
    <row r="12" customFormat="false" ht="15" hidden="false" customHeight="false" outlineLevel="0" collapsed="false">
      <c r="A12" s="6"/>
      <c r="B12" s="13"/>
      <c r="C12" s="13"/>
      <c r="D12" s="13"/>
      <c r="E12" s="13"/>
      <c r="F12" s="13"/>
      <c r="G12" s="13"/>
      <c r="H12" s="13"/>
      <c r="I12" s="13"/>
      <c r="J12" s="13"/>
      <c r="K12" s="13"/>
      <c r="L12" s="4" t="str">
        <f aca="false">IF(COUNTA(B12:K12)=0,"",IF(COUNTIF(B12:K12,"A")=1,"OK","Needs one A"))</f>
        <v/>
      </c>
    </row>
    <row r="13" customFormat="false" ht="15" hidden="false" customHeight="false" outlineLevel="0" collapsed="false">
      <c r="A13" s="6"/>
      <c r="B13" s="13"/>
      <c r="C13" s="13"/>
      <c r="D13" s="13"/>
      <c r="E13" s="13"/>
      <c r="F13" s="13"/>
      <c r="G13" s="13"/>
      <c r="H13" s="13"/>
      <c r="I13" s="13"/>
      <c r="J13" s="13"/>
      <c r="K13" s="13"/>
      <c r="L13" s="4" t="str">
        <f aca="false">IF(COUNTA(B13:K13)=0,"",IF(COUNTIF(B13:K13,"A")=1,"OK","Needs one A"))</f>
        <v/>
      </c>
    </row>
    <row r="14" customFormat="false" ht="15" hidden="false" customHeight="false" outlineLevel="0" collapsed="false">
      <c r="A14" s="6"/>
      <c r="B14" s="13"/>
      <c r="C14" s="13"/>
      <c r="D14" s="13"/>
      <c r="E14" s="13"/>
      <c r="F14" s="13"/>
      <c r="G14" s="13"/>
      <c r="H14" s="13"/>
      <c r="I14" s="13"/>
      <c r="J14" s="13"/>
      <c r="K14" s="13"/>
      <c r="L14" s="4" t="str">
        <f aca="false">IF(COUNTA(B14:K14)=0,"",IF(COUNTIF(B14:K14,"A")=1,"OK","Needs one A"))</f>
        <v/>
      </c>
    </row>
    <row r="15" customFormat="false" ht="15" hidden="false" customHeight="false" outlineLevel="0" collapsed="false">
      <c r="A15" s="6"/>
      <c r="B15" s="13"/>
      <c r="C15" s="13"/>
      <c r="D15" s="13"/>
      <c r="E15" s="13"/>
      <c r="F15" s="13"/>
      <c r="G15" s="13"/>
      <c r="H15" s="13"/>
      <c r="I15" s="13"/>
      <c r="J15" s="13"/>
      <c r="K15" s="13"/>
      <c r="L15" s="4" t="str">
        <f aca="false">IF(COUNTA(B15:K15)=0,"",IF(COUNTIF(B15:K15,"A")=1,"OK","Needs one A"))</f>
        <v/>
      </c>
    </row>
    <row r="16" customFormat="false" ht="15" hidden="false" customHeight="false" outlineLevel="0" collapsed="false">
      <c r="A16" s="6"/>
      <c r="B16" s="13"/>
      <c r="C16" s="13"/>
      <c r="D16" s="13"/>
      <c r="E16" s="13"/>
      <c r="F16" s="13"/>
      <c r="G16" s="13"/>
      <c r="H16" s="13"/>
      <c r="I16" s="13"/>
      <c r="J16" s="13"/>
      <c r="K16" s="13"/>
      <c r="L16" s="4" t="str">
        <f aca="false">IF(COUNTA(B16:K16)=0,"",IF(COUNTIF(B16:K16,"A")=1,"OK","Needs one A"))</f>
        <v/>
      </c>
    </row>
  </sheetData>
  <conditionalFormatting sqref="L5:L16">
    <cfRule type="cellIs" priority="2" operator="equal" aboveAverage="0" equalAverage="0" bottom="0" percent="0" rank="0" text="" dxfId="0">
      <formula>"Needs one A"</formula>
    </cfRule>
  </conditionalFormatting>
  <dataValidations count="1">
    <dataValidation allowBlank="true" errorStyle="stop" operator="between" showDropDown="false" showErrorMessage="false" showInputMessage="false" sqref="B5:K16" type="list">
      <formula1>"R,A,C,I"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16"/>
    <col collapsed="false" customWidth="true" hidden="false" outlineLevel="0" max="4" min="4" style="0" width="38"/>
    <col collapsed="false" customWidth="true" hidden="false" outlineLevel="0" max="6" min="5" style="0" width="11"/>
    <col collapsed="false" customWidth="true" hidden="false" outlineLevel="0" max="7" min="7" style="0" width="8"/>
    <col collapsed="false" customWidth="true" hidden="false" outlineLevel="0" max="8" min="8" style="0" width="9"/>
    <col collapsed="false" customWidth="true" hidden="false" outlineLevel="0" max="9" min="9" style="0" width="14"/>
    <col collapsed="false" customWidth="true" hidden="false" outlineLevel="0" max="10" min="10" style="0" width="42"/>
    <col collapsed="false" customWidth="true" hidden="false" outlineLevel="0" max="11" min="11" style="0" width="13"/>
    <col collapsed="false" customWidth="true" hidden="false" outlineLevel="0" max="12" min="12" style="0" width="12"/>
    <col collapsed="false" customWidth="true" hidden="false" outlineLevel="0" max="13" min="13" style="0" width="46"/>
  </cols>
  <sheetData>
    <row r="1" customFormat="false" ht="17.35" hidden="false" customHeight="false" outlineLevel="0" collapsed="false">
      <c r="A1" s="1" t="s">
        <v>279</v>
      </c>
    </row>
    <row r="2" customFormat="false" ht="15" hidden="false" customHeight="false" outlineLevel="0" collapsed="false">
      <c r="A2" s="2" t="s">
        <v>280</v>
      </c>
    </row>
    <row r="4" customFormat="false" ht="31.5" hidden="false" customHeight="true" outlineLevel="0" collapsed="false">
      <c r="A4" s="8" t="s">
        <v>144</v>
      </c>
      <c r="B4" s="8" t="s">
        <v>145</v>
      </c>
      <c r="C4" s="8" t="s">
        <v>146</v>
      </c>
      <c r="D4" s="8" t="s">
        <v>147</v>
      </c>
      <c r="E4" s="8" t="s">
        <v>148</v>
      </c>
      <c r="F4" s="8" t="s">
        <v>149</v>
      </c>
      <c r="G4" s="8" t="s">
        <v>150</v>
      </c>
      <c r="H4" s="8" t="s">
        <v>101</v>
      </c>
      <c r="I4" s="8" t="s">
        <v>47</v>
      </c>
      <c r="J4" s="8" t="s">
        <v>151</v>
      </c>
      <c r="K4" s="8" t="s">
        <v>152</v>
      </c>
      <c r="L4" s="8" t="s">
        <v>14</v>
      </c>
      <c r="M4" s="8" t="s">
        <v>153</v>
      </c>
    </row>
    <row r="5" customFormat="false" ht="15" hidden="false" customHeight="false" outlineLevel="0" collapsed="false">
      <c r="A5" s="6" t="s">
        <v>154</v>
      </c>
      <c r="B5" s="6"/>
      <c r="C5" s="6"/>
      <c r="D5" s="6"/>
      <c r="E5" s="13"/>
      <c r="F5" s="13"/>
      <c r="G5" s="4" t="str">
        <f aca="false">IF(OR(E5="",F5=""),"",E5*F5)</f>
        <v/>
      </c>
      <c r="H5" s="4" t="str">
        <f aca="false">IF(G5="","",IF(G5&gt;=15,"Red",IF(G5&gt;=8,"Amber","Green")))</f>
        <v/>
      </c>
      <c r="I5" s="6"/>
      <c r="J5" s="6"/>
      <c r="K5" s="7"/>
      <c r="L5" s="6"/>
      <c r="M5" s="6"/>
    </row>
    <row r="6" customFormat="false" ht="15" hidden="false" customHeight="false" outlineLevel="0" collapsed="false">
      <c r="A6" s="6" t="s">
        <v>161</v>
      </c>
      <c r="B6" s="6"/>
      <c r="C6" s="6"/>
      <c r="D6" s="6"/>
      <c r="E6" s="13"/>
      <c r="F6" s="13"/>
      <c r="G6" s="4" t="str">
        <f aca="false">IF(OR(E6="",F6=""),"",E6*F6)</f>
        <v/>
      </c>
      <c r="H6" s="4" t="str">
        <f aca="false">IF(G6="","",IF(G6&gt;=15,"Red",IF(G6&gt;=8,"Amber","Green")))</f>
        <v/>
      </c>
      <c r="I6" s="6"/>
      <c r="J6" s="6"/>
      <c r="K6" s="7"/>
      <c r="L6" s="6"/>
      <c r="M6" s="6"/>
    </row>
    <row r="7" customFormat="false" ht="15" hidden="false" customHeight="false" outlineLevel="0" collapsed="false">
      <c r="A7" s="6" t="s">
        <v>169</v>
      </c>
      <c r="B7" s="6"/>
      <c r="C7" s="6"/>
      <c r="D7" s="6"/>
      <c r="E7" s="13"/>
      <c r="F7" s="13"/>
      <c r="G7" s="4" t="str">
        <f aca="false">IF(OR(E7="",F7=""),"",E7*F7)</f>
        <v/>
      </c>
      <c r="H7" s="4" t="str">
        <f aca="false">IF(G7="","",IF(G7&gt;=15,"Red",IF(G7&gt;=8,"Amber","Green")))</f>
        <v/>
      </c>
      <c r="I7" s="6"/>
      <c r="J7" s="6"/>
      <c r="K7" s="7"/>
      <c r="L7" s="6"/>
      <c r="M7" s="6"/>
    </row>
    <row r="8" customFormat="false" ht="15" hidden="false" customHeight="false" outlineLevel="0" collapsed="false">
      <c r="A8" s="6" t="s">
        <v>175</v>
      </c>
      <c r="B8" s="6"/>
      <c r="C8" s="6"/>
      <c r="D8" s="6"/>
      <c r="E8" s="13"/>
      <c r="F8" s="13"/>
      <c r="G8" s="4" t="str">
        <f aca="false">IF(OR(E8="",F8=""),"",E8*F8)</f>
        <v/>
      </c>
      <c r="H8" s="4" t="str">
        <f aca="false">IF(G8="","",IF(G8&gt;=15,"Red",IF(G8&gt;=8,"Amber","Green")))</f>
        <v/>
      </c>
      <c r="I8" s="6"/>
      <c r="J8" s="6"/>
      <c r="K8" s="7"/>
      <c r="L8" s="6"/>
      <c r="M8" s="6"/>
    </row>
    <row r="9" customFormat="false" ht="15" hidden="false" customHeight="false" outlineLevel="0" collapsed="false">
      <c r="A9" s="6" t="s">
        <v>181</v>
      </c>
      <c r="B9" s="6"/>
      <c r="C9" s="6"/>
      <c r="D9" s="6"/>
      <c r="E9" s="13"/>
      <c r="F9" s="13"/>
      <c r="G9" s="4" t="str">
        <f aca="false">IF(OR(E9="",F9=""),"",E9*F9)</f>
        <v/>
      </c>
      <c r="H9" s="4" t="str">
        <f aca="false">IF(G9="","",IF(G9&gt;=15,"Red",IF(G9&gt;=8,"Amber","Green")))</f>
        <v/>
      </c>
      <c r="I9" s="6"/>
      <c r="J9" s="6"/>
      <c r="K9" s="7"/>
      <c r="L9" s="6"/>
      <c r="M9" s="6"/>
    </row>
    <row r="10" customFormat="false" ht="15" hidden="false" customHeight="false" outlineLevel="0" collapsed="false">
      <c r="A10" s="6" t="s">
        <v>187</v>
      </c>
      <c r="B10" s="6"/>
      <c r="C10" s="6"/>
      <c r="D10" s="6"/>
      <c r="E10" s="13"/>
      <c r="F10" s="13"/>
      <c r="G10" s="4" t="str">
        <f aca="false">IF(OR(E10="",F10=""),"",E10*F10)</f>
        <v/>
      </c>
      <c r="H10" s="4" t="str">
        <f aca="false">IF(G10="","",IF(G10&gt;=15,"Red",IF(G10&gt;=8,"Amber","Green")))</f>
        <v/>
      </c>
      <c r="I10" s="6"/>
      <c r="J10" s="6"/>
      <c r="K10" s="7"/>
      <c r="L10" s="6"/>
      <c r="M10" s="6"/>
    </row>
    <row r="11" customFormat="false" ht="15" hidden="false" customHeight="false" outlineLevel="0" collapsed="false">
      <c r="A11" s="6" t="s">
        <v>192</v>
      </c>
      <c r="B11" s="6"/>
      <c r="C11" s="6"/>
      <c r="D11" s="6"/>
      <c r="E11" s="13"/>
      <c r="F11" s="13"/>
      <c r="G11" s="4" t="str">
        <f aca="false">IF(OR(E11="",F11=""),"",E11*F11)</f>
        <v/>
      </c>
      <c r="H11" s="4" t="str">
        <f aca="false">IF(G11="","",IF(G11&gt;=15,"Red",IF(G11&gt;=8,"Amber","Green")))</f>
        <v/>
      </c>
      <c r="I11" s="6"/>
      <c r="J11" s="6"/>
      <c r="K11" s="7"/>
      <c r="L11" s="6"/>
      <c r="M11" s="6"/>
    </row>
    <row r="12" customFormat="false" ht="15" hidden="false" customHeight="false" outlineLevel="0" collapsed="false">
      <c r="A12" s="6" t="s">
        <v>200</v>
      </c>
      <c r="B12" s="6"/>
      <c r="C12" s="6"/>
      <c r="D12" s="6"/>
      <c r="E12" s="13"/>
      <c r="F12" s="13"/>
      <c r="G12" s="4" t="str">
        <f aca="false">IF(OR(E12="",F12=""),"",E12*F12)</f>
        <v/>
      </c>
      <c r="H12" s="4" t="str">
        <f aca="false">IF(G12="","",IF(G12&gt;=15,"Red",IF(G12&gt;=8,"Amber","Green")))</f>
        <v/>
      </c>
      <c r="I12" s="6"/>
      <c r="J12" s="6"/>
      <c r="K12" s="7"/>
      <c r="L12" s="6"/>
      <c r="M12" s="6"/>
    </row>
    <row r="13" customFormat="false" ht="15" hidden="false" customHeight="false" outlineLevel="0" collapsed="false">
      <c r="A13" s="6" t="s">
        <v>281</v>
      </c>
      <c r="B13" s="6"/>
      <c r="C13" s="6"/>
      <c r="D13" s="6"/>
      <c r="E13" s="13"/>
      <c r="F13" s="13"/>
      <c r="G13" s="4" t="str">
        <f aca="false">IF(OR(E13="",F13=""),"",E13*F13)</f>
        <v/>
      </c>
      <c r="H13" s="4" t="str">
        <f aca="false">IF(G13="","",IF(G13&gt;=15,"Red",IF(G13&gt;=8,"Amber","Green")))</f>
        <v/>
      </c>
      <c r="I13" s="6"/>
      <c r="J13" s="6"/>
      <c r="K13" s="7"/>
      <c r="L13" s="6"/>
      <c r="M13" s="6"/>
    </row>
    <row r="14" customFormat="false" ht="15" hidden="false" customHeight="false" outlineLevel="0" collapsed="false">
      <c r="A14" s="6" t="s">
        <v>282</v>
      </c>
      <c r="B14" s="6"/>
      <c r="C14" s="6"/>
      <c r="D14" s="6"/>
      <c r="E14" s="13"/>
      <c r="F14" s="13"/>
      <c r="G14" s="4" t="str">
        <f aca="false">IF(OR(E14="",F14=""),"",E14*F14)</f>
        <v/>
      </c>
      <c r="H14" s="4" t="str">
        <f aca="false">IF(G14="","",IF(G14&gt;=15,"Red",IF(G14&gt;=8,"Amber","Green")))</f>
        <v/>
      </c>
      <c r="I14" s="6"/>
      <c r="J14" s="6"/>
      <c r="K14" s="7"/>
      <c r="L14" s="6"/>
      <c r="M14" s="6"/>
    </row>
    <row r="15" customFormat="false" ht="15" hidden="false" customHeight="false" outlineLevel="0" collapsed="false">
      <c r="A15" s="6" t="s">
        <v>283</v>
      </c>
      <c r="B15" s="6"/>
      <c r="C15" s="6"/>
      <c r="D15" s="6"/>
      <c r="E15" s="13"/>
      <c r="F15" s="13"/>
      <c r="G15" s="4" t="str">
        <f aca="false">IF(OR(E15="",F15=""),"",E15*F15)</f>
        <v/>
      </c>
      <c r="H15" s="4" t="str">
        <f aca="false">IF(G15="","",IF(G15&gt;=15,"Red",IF(G15&gt;=8,"Amber","Green")))</f>
        <v/>
      </c>
      <c r="I15" s="6"/>
      <c r="J15" s="6"/>
      <c r="K15" s="7"/>
      <c r="L15" s="6"/>
      <c r="M15" s="6"/>
    </row>
    <row r="16" customFormat="false" ht="15" hidden="false" customHeight="false" outlineLevel="0" collapsed="false">
      <c r="A16" s="6" t="s">
        <v>284</v>
      </c>
      <c r="B16" s="6"/>
      <c r="C16" s="6"/>
      <c r="D16" s="6"/>
      <c r="E16" s="13"/>
      <c r="F16" s="13"/>
      <c r="G16" s="4" t="str">
        <f aca="false">IF(OR(E16="",F16=""),"",E16*F16)</f>
        <v/>
      </c>
      <c r="H16" s="4" t="str">
        <f aca="false">IF(G16="","",IF(G16&gt;=15,"Red",IF(G16&gt;=8,"Amber","Green")))</f>
        <v/>
      </c>
      <c r="I16" s="6"/>
      <c r="J16" s="6"/>
      <c r="K16" s="7"/>
      <c r="L16" s="6"/>
      <c r="M16" s="6"/>
    </row>
    <row r="18" customFormat="false" ht="23.85" hidden="false" customHeight="false" outlineLevel="0" collapsed="false">
      <c r="A18" s="3" t="s">
        <v>205</v>
      </c>
      <c r="B18" s="4" t="str">
        <f aca="false">IFERROR(INDEX(B5:B16,MATCH(LARGE(G5:G16,1),G5:G16,0)),"")</f>
        <v/>
      </c>
      <c r="D18" s="4" t="s">
        <v>206</v>
      </c>
    </row>
    <row r="19" customFormat="false" ht="15" hidden="false" customHeight="false" outlineLevel="0" collapsed="false">
      <c r="B19" s="4" t="str">
        <f aca="false">IFERROR(INDEX(B5:B16,MATCH(LARGE(G5:G16,2),G5:G16,0)),"")</f>
        <v/>
      </c>
    </row>
    <row r="20" customFormat="false" ht="15" hidden="false" customHeight="false" outlineLevel="0" collapsed="false">
      <c r="B20" s="4" t="str">
        <f aca="false">IFERROR(INDEX(B5:B16,MATCH(LARGE(G5:G16,3),G5:G16,0)),"")</f>
        <v/>
      </c>
    </row>
  </sheetData>
  <conditionalFormatting sqref="H5:H16">
    <cfRule type="cellIs" priority="2" operator="equal" aboveAverage="0" equalAverage="0" bottom="0" percent="0" rank="0" text="" dxfId="0">
      <formula>"Red"</formula>
    </cfRule>
    <cfRule type="cellIs" priority="3" operator="equal" aboveAverage="0" equalAverage="0" bottom="0" percent="0" rank="0" text="" dxfId="1">
      <formula>"Amber"</formula>
    </cfRule>
    <cfRule type="cellIs" priority="4" operator="equal" aboveAverage="0" equalAverage="0" bottom="0" percent="0" rank="0" text="" dxfId="2">
      <formula>"Green"</formula>
    </cfRule>
  </conditionalFormatting>
  <dataValidations count="1">
    <dataValidation allowBlank="true" errorStyle="stop" operator="between" showDropDown="false" showErrorMessage="false" showInputMessage="false" sqref="E5:F16"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46"/>
    <col collapsed="false" customWidth="true" hidden="false" outlineLevel="0" max="4" min="4" style="0" width="40"/>
    <col collapsed="false" customWidth="true" hidden="false" outlineLevel="0" max="5" min="5" style="0" width="22"/>
    <col collapsed="false" customWidth="true" hidden="false" outlineLevel="0" max="6" min="6" style="0" width="46"/>
    <col collapsed="false" customWidth="true" hidden="false" outlineLevel="0" max="7" min="7" style="0" width="13"/>
  </cols>
  <sheetData>
    <row r="1" customFormat="false" ht="17.35" hidden="false" customHeight="false" outlineLevel="0" collapsed="false">
      <c r="A1" s="1" t="s">
        <v>207</v>
      </c>
    </row>
    <row r="2" customFormat="false" ht="15" hidden="false" customHeight="false" outlineLevel="0" collapsed="false">
      <c r="A2" s="2" t="s">
        <v>285</v>
      </c>
    </row>
    <row r="4" customFormat="false" ht="31.5" hidden="false" customHeight="true" outlineLevel="0" collapsed="false">
      <c r="A4" s="8" t="s">
        <v>209</v>
      </c>
      <c r="B4" s="8" t="s">
        <v>210</v>
      </c>
      <c r="C4" s="8" t="s">
        <v>211</v>
      </c>
      <c r="D4" s="8" t="s">
        <v>212</v>
      </c>
      <c r="E4" s="8" t="s">
        <v>213</v>
      </c>
      <c r="F4" s="8" t="s">
        <v>214</v>
      </c>
      <c r="G4" s="8" t="s">
        <v>215</v>
      </c>
    </row>
    <row r="5" customFormat="false" ht="15" hidden="false" customHeight="false" outlineLevel="0" collapsed="false">
      <c r="A5" s="4" t="n">
        <v>1</v>
      </c>
      <c r="B5" s="7"/>
      <c r="C5" s="6"/>
      <c r="D5" s="6"/>
      <c r="E5" s="6"/>
      <c r="F5" s="6"/>
      <c r="G5" s="7"/>
    </row>
    <row r="6" customFormat="false" ht="15" hidden="false" customHeight="false" outlineLevel="0" collapsed="false">
      <c r="A6" s="4" t="n">
        <v>2</v>
      </c>
      <c r="B6" s="7"/>
      <c r="C6" s="6"/>
      <c r="D6" s="6"/>
      <c r="E6" s="6"/>
      <c r="F6" s="6"/>
      <c r="G6" s="7"/>
    </row>
    <row r="7" customFormat="false" ht="15" hidden="false" customHeight="false" outlineLevel="0" collapsed="false">
      <c r="A7" s="4" t="n">
        <v>3</v>
      </c>
      <c r="B7" s="7"/>
      <c r="C7" s="6"/>
      <c r="D7" s="6"/>
      <c r="E7" s="6"/>
      <c r="F7" s="6"/>
      <c r="G7" s="7"/>
    </row>
    <row r="8" customFormat="false" ht="15" hidden="false" customHeight="false" outlineLevel="0" collapsed="false">
      <c r="A8" s="4" t="n">
        <v>4</v>
      </c>
      <c r="B8" s="7"/>
      <c r="C8" s="6"/>
      <c r="D8" s="6"/>
      <c r="E8" s="6"/>
      <c r="F8" s="6"/>
      <c r="G8" s="7"/>
    </row>
    <row r="9" customFormat="false" ht="15" hidden="false" customHeight="false" outlineLevel="0" collapsed="false">
      <c r="A9" s="4" t="n">
        <v>5</v>
      </c>
      <c r="B9" s="7"/>
      <c r="C9" s="6"/>
      <c r="D9" s="6"/>
      <c r="E9" s="6"/>
      <c r="F9" s="6"/>
      <c r="G9" s="7"/>
    </row>
    <row r="10" customFormat="false" ht="15" hidden="false" customHeight="false" outlineLevel="0" collapsed="false">
      <c r="A10" s="4" t="n">
        <v>6</v>
      </c>
      <c r="B10" s="7"/>
      <c r="C10" s="6"/>
      <c r="D10" s="6"/>
      <c r="E10" s="6"/>
      <c r="F10" s="6"/>
      <c r="G10" s="7"/>
    </row>
    <row r="11" customFormat="false" ht="15" hidden="false" customHeight="false" outlineLevel="0" collapsed="false">
      <c r="A11" s="4" t="n">
        <v>7</v>
      </c>
      <c r="B11" s="7"/>
      <c r="C11" s="6"/>
      <c r="D11" s="6"/>
      <c r="E11" s="6"/>
      <c r="F11" s="6"/>
      <c r="G11" s="7"/>
    </row>
    <row r="12" customFormat="false" ht="15" hidden="false" customHeight="false" outlineLevel="0" collapsed="false">
      <c r="A12" s="4" t="n">
        <v>8</v>
      </c>
      <c r="B12" s="7"/>
      <c r="C12" s="6"/>
      <c r="D12" s="6"/>
      <c r="E12" s="6"/>
      <c r="F12" s="6"/>
      <c r="G12" s="7"/>
    </row>
    <row r="13" customFormat="false" ht="15" hidden="false" customHeight="false" outlineLevel="0" collapsed="false">
      <c r="A13" s="4" t="n">
        <v>9</v>
      </c>
      <c r="B13" s="7"/>
      <c r="C13" s="6"/>
      <c r="D13" s="6"/>
      <c r="E13" s="6"/>
      <c r="F13" s="6"/>
      <c r="G13" s="7"/>
    </row>
    <row r="14" customFormat="false" ht="15" hidden="false" customHeight="false" outlineLevel="0" collapsed="false">
      <c r="A14" s="4" t="n">
        <v>10</v>
      </c>
      <c r="B14" s="7"/>
      <c r="C14" s="6"/>
      <c r="D14" s="6"/>
      <c r="E14" s="6"/>
      <c r="F14" s="6"/>
      <c r="G14" s="7"/>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2026-10-11T19:12:21Z</dcterms:created>
  <dc:creator>openpyxl</dc:creator>
  <dc:description/>
  <dc:language>en-US</dc:language>
  <cp:lastModifiedBy/>
  <dcterms:modified xsi:type="dcterms:W3CDTF">2026-10-11T19:12:22Z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